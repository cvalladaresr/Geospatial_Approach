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mil\Desktop\Master DS e IA\00_TFM\codigos\datos_empresa\"/>
    </mc:Choice>
  </mc:AlternateContent>
  <xr:revisionPtr revIDLastSave="0" documentId="13_ncr:1_{19E87EDC-CC7A-42AA-A802-6CC92367D2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resas con coordenadas" sheetId="69" r:id="rId1"/>
    <sheet name="bd_produccion" sheetId="75" r:id="rId2"/>
    <sheet name="bd_plantas" sheetId="73" r:id="rId3"/>
    <sheet name="Contraste del indicador" sheetId="71" r:id="rId4"/>
    <sheet name="bd_1825" sheetId="74" r:id="rId5"/>
    <sheet name="PRTR" sheetId="7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0" i="74" l="1"/>
  <c r="T49" i="74"/>
  <c r="T48" i="74"/>
  <c r="T47" i="74"/>
  <c r="T46" i="74"/>
  <c r="T45" i="74"/>
  <c r="T44" i="74"/>
  <c r="T43" i="74"/>
  <c r="T42" i="74"/>
  <c r="T41" i="74"/>
  <c r="T40" i="74"/>
  <c r="T39" i="74"/>
  <c r="T38" i="74"/>
  <c r="T37" i="74"/>
  <c r="T36" i="74"/>
  <c r="T35" i="74"/>
  <c r="T34" i="74"/>
  <c r="T33" i="74"/>
  <c r="T32" i="74"/>
  <c r="T31" i="74"/>
  <c r="T30" i="74"/>
  <c r="T29" i="74"/>
  <c r="T28" i="74"/>
  <c r="T27" i="74"/>
  <c r="T26" i="74"/>
  <c r="T25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T6" i="74"/>
  <c r="T5" i="74"/>
  <c r="T4" i="74"/>
  <c r="T3" i="74"/>
  <c r="T2" i="74"/>
  <c r="T1" i="74"/>
  <c r="S1" i="74"/>
  <c r="R1" i="74"/>
  <c r="Q1" i="74"/>
  <c r="P1" i="74"/>
  <c r="O1" i="74"/>
  <c r="N1" i="74"/>
  <c r="M1" i="74"/>
  <c r="S50" i="74"/>
  <c r="S49" i="74"/>
  <c r="S48" i="74"/>
  <c r="S47" i="74"/>
  <c r="S46" i="74"/>
  <c r="S45" i="74"/>
  <c r="S44" i="74"/>
  <c r="S43" i="74"/>
  <c r="S42" i="74"/>
  <c r="S41" i="74"/>
  <c r="S40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17" i="74"/>
  <c r="S16" i="74"/>
  <c r="S15" i="74"/>
  <c r="S14" i="74"/>
  <c r="S13" i="74"/>
  <c r="S12" i="74"/>
  <c r="S11" i="74"/>
  <c r="S10" i="74"/>
  <c r="S9" i="74"/>
  <c r="S8" i="74"/>
  <c r="S7" i="74"/>
  <c r="S6" i="74"/>
  <c r="S5" i="74"/>
  <c r="S4" i="74"/>
  <c r="S3" i="74"/>
  <c r="S2" i="74"/>
  <c r="R50" i="74"/>
  <c r="Q50" i="74"/>
  <c r="P50" i="74"/>
  <c r="O50" i="74"/>
  <c r="N50" i="74"/>
  <c r="R49" i="74"/>
  <c r="Q49" i="74"/>
  <c r="P49" i="74"/>
  <c r="O49" i="74"/>
  <c r="N49" i="74"/>
  <c r="R48" i="74"/>
  <c r="Q48" i="74"/>
  <c r="P48" i="74"/>
  <c r="O48" i="74"/>
  <c r="N48" i="74"/>
  <c r="R47" i="74"/>
  <c r="Q47" i="74"/>
  <c r="P47" i="74"/>
  <c r="O47" i="74"/>
  <c r="N47" i="74"/>
  <c r="R46" i="74"/>
  <c r="Q46" i="74"/>
  <c r="P46" i="74"/>
  <c r="O46" i="74"/>
  <c r="N46" i="74"/>
  <c r="R45" i="74"/>
  <c r="Q45" i="74"/>
  <c r="P45" i="74"/>
  <c r="O45" i="74"/>
  <c r="N45" i="74"/>
  <c r="R44" i="74"/>
  <c r="Q44" i="74"/>
  <c r="P44" i="74"/>
  <c r="O44" i="74"/>
  <c r="N44" i="74"/>
  <c r="R43" i="74"/>
  <c r="Q43" i="74"/>
  <c r="P43" i="74"/>
  <c r="O43" i="74"/>
  <c r="N43" i="74"/>
  <c r="R42" i="74"/>
  <c r="Q42" i="74"/>
  <c r="P42" i="74"/>
  <c r="O42" i="74"/>
  <c r="N42" i="74"/>
  <c r="R41" i="74"/>
  <c r="Q41" i="74"/>
  <c r="P41" i="74"/>
  <c r="O41" i="74"/>
  <c r="N41" i="74"/>
  <c r="R40" i="74"/>
  <c r="Q40" i="74"/>
  <c r="P40" i="74"/>
  <c r="O40" i="74"/>
  <c r="N40" i="74"/>
  <c r="R39" i="74"/>
  <c r="Q39" i="74"/>
  <c r="P39" i="74"/>
  <c r="O39" i="74"/>
  <c r="N39" i="74"/>
  <c r="R38" i="74"/>
  <c r="Q38" i="74"/>
  <c r="P38" i="74"/>
  <c r="O38" i="74"/>
  <c r="N38" i="74"/>
  <c r="R37" i="74"/>
  <c r="Q37" i="74"/>
  <c r="P37" i="74"/>
  <c r="O37" i="74"/>
  <c r="N37" i="74"/>
  <c r="R36" i="74"/>
  <c r="Q36" i="74"/>
  <c r="P36" i="74"/>
  <c r="O36" i="74"/>
  <c r="N36" i="74"/>
  <c r="R35" i="74"/>
  <c r="Q35" i="74"/>
  <c r="P35" i="74"/>
  <c r="O35" i="74"/>
  <c r="N35" i="74"/>
  <c r="R34" i="74"/>
  <c r="Q34" i="74"/>
  <c r="P34" i="74"/>
  <c r="O34" i="74"/>
  <c r="N34" i="74"/>
  <c r="R33" i="74"/>
  <c r="Q33" i="74"/>
  <c r="P33" i="74"/>
  <c r="O33" i="74"/>
  <c r="N33" i="74"/>
  <c r="R32" i="74"/>
  <c r="Q32" i="74"/>
  <c r="P32" i="74"/>
  <c r="O32" i="74"/>
  <c r="N32" i="74"/>
  <c r="R31" i="74"/>
  <c r="Q31" i="74"/>
  <c r="P31" i="74"/>
  <c r="O31" i="74"/>
  <c r="N31" i="74"/>
  <c r="R30" i="74"/>
  <c r="Q30" i="74"/>
  <c r="P30" i="74"/>
  <c r="O30" i="74"/>
  <c r="N30" i="74"/>
  <c r="R29" i="74"/>
  <c r="Q29" i="74"/>
  <c r="P29" i="74"/>
  <c r="O29" i="74"/>
  <c r="N29" i="74"/>
  <c r="R28" i="74"/>
  <c r="Q28" i="74"/>
  <c r="P28" i="74"/>
  <c r="O28" i="74"/>
  <c r="N28" i="74"/>
  <c r="R27" i="74"/>
  <c r="Q27" i="74"/>
  <c r="P27" i="74"/>
  <c r="O27" i="74"/>
  <c r="N27" i="74"/>
  <c r="R26" i="74"/>
  <c r="Q26" i="74"/>
  <c r="P26" i="74"/>
  <c r="O26" i="74"/>
  <c r="N26" i="74"/>
  <c r="R25" i="74"/>
  <c r="Q25" i="74"/>
  <c r="P25" i="74"/>
  <c r="O25" i="74"/>
  <c r="N25" i="74"/>
  <c r="R24" i="74"/>
  <c r="Q24" i="74"/>
  <c r="P24" i="74"/>
  <c r="O24" i="74"/>
  <c r="N24" i="74"/>
  <c r="R23" i="74"/>
  <c r="Q23" i="74"/>
  <c r="P23" i="74"/>
  <c r="O23" i="74"/>
  <c r="N23" i="74"/>
  <c r="R22" i="74"/>
  <c r="Q22" i="74"/>
  <c r="P22" i="74"/>
  <c r="O22" i="74"/>
  <c r="N22" i="74"/>
  <c r="R21" i="74"/>
  <c r="Q21" i="74"/>
  <c r="P21" i="74"/>
  <c r="O21" i="74"/>
  <c r="N21" i="74"/>
  <c r="R20" i="74"/>
  <c r="Q20" i="74"/>
  <c r="P20" i="74"/>
  <c r="O20" i="74"/>
  <c r="N20" i="74"/>
  <c r="R19" i="74"/>
  <c r="Q19" i="74"/>
  <c r="P19" i="74"/>
  <c r="O19" i="74"/>
  <c r="N19" i="74"/>
  <c r="R18" i="74"/>
  <c r="Q18" i="74"/>
  <c r="P18" i="74"/>
  <c r="O18" i="74"/>
  <c r="N18" i="74"/>
  <c r="R17" i="74"/>
  <c r="Q17" i="74"/>
  <c r="P17" i="74"/>
  <c r="O17" i="74"/>
  <c r="N17" i="74"/>
  <c r="R16" i="74"/>
  <c r="Q16" i="74"/>
  <c r="P16" i="74"/>
  <c r="O16" i="74"/>
  <c r="N16" i="74"/>
  <c r="R15" i="74"/>
  <c r="Q15" i="74"/>
  <c r="P15" i="74"/>
  <c r="O15" i="74"/>
  <c r="N15" i="74"/>
  <c r="R14" i="74"/>
  <c r="Q14" i="74"/>
  <c r="P14" i="74"/>
  <c r="O14" i="74"/>
  <c r="N14" i="74"/>
  <c r="R13" i="74"/>
  <c r="Q13" i="74"/>
  <c r="P13" i="74"/>
  <c r="O13" i="74"/>
  <c r="N13" i="74"/>
  <c r="R12" i="74"/>
  <c r="Q12" i="74"/>
  <c r="P12" i="74"/>
  <c r="O12" i="74"/>
  <c r="N12" i="74"/>
  <c r="R11" i="74"/>
  <c r="Q11" i="74"/>
  <c r="P11" i="74"/>
  <c r="O11" i="74"/>
  <c r="N11" i="74"/>
  <c r="R10" i="74"/>
  <c r="Q10" i="74"/>
  <c r="P10" i="74"/>
  <c r="O10" i="74"/>
  <c r="N10" i="74"/>
  <c r="R9" i="74"/>
  <c r="Q9" i="74"/>
  <c r="P9" i="74"/>
  <c r="O9" i="74"/>
  <c r="N9" i="74"/>
  <c r="R8" i="74"/>
  <c r="Q8" i="74"/>
  <c r="P8" i="74"/>
  <c r="O8" i="74"/>
  <c r="N8" i="74"/>
  <c r="R7" i="74"/>
  <c r="Q7" i="74"/>
  <c r="P7" i="74"/>
  <c r="O7" i="74"/>
  <c r="N7" i="74"/>
  <c r="R6" i="74"/>
  <c r="Q6" i="74"/>
  <c r="P6" i="74"/>
  <c r="O6" i="74"/>
  <c r="N6" i="74"/>
  <c r="R5" i="74"/>
  <c r="Q5" i="74"/>
  <c r="P5" i="74"/>
  <c r="O5" i="74"/>
  <c r="N5" i="74"/>
  <c r="R4" i="74"/>
  <c r="Q4" i="74"/>
  <c r="P4" i="74"/>
  <c r="O4" i="74"/>
  <c r="N4" i="74"/>
  <c r="R3" i="74"/>
  <c r="Q3" i="74"/>
  <c r="P3" i="74"/>
  <c r="O3" i="74"/>
  <c r="N3" i="74"/>
  <c r="R2" i="74"/>
  <c r="Q2" i="74"/>
  <c r="P2" i="74"/>
  <c r="O2" i="74"/>
  <c r="N2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M11" i="74"/>
  <c r="M10" i="74"/>
  <c r="M9" i="74"/>
  <c r="M8" i="74"/>
  <c r="M7" i="74"/>
  <c r="M6" i="74"/>
  <c r="M5" i="74"/>
  <c r="M4" i="74"/>
  <c r="M3" i="74"/>
  <c r="M2" i="74"/>
  <c r="C8" i="69"/>
  <c r="BC8" i="71"/>
  <c r="BB8" i="71"/>
  <c r="BA8" i="71"/>
  <c r="AZ8" i="71"/>
  <c r="AY8" i="71"/>
  <c r="AX8" i="71"/>
  <c r="AW8" i="71"/>
  <c r="AV8" i="71"/>
  <c r="AU8" i="71"/>
  <c r="AT8" i="71"/>
  <c r="AS8" i="71"/>
  <c r="AR8" i="71"/>
  <c r="AQ8" i="71"/>
  <c r="AP8" i="71"/>
  <c r="AO8" i="71"/>
  <c r="AN8" i="71"/>
  <c r="AM8" i="71"/>
  <c r="AL8" i="71"/>
  <c r="AK8" i="71"/>
  <c r="AJ8" i="71"/>
  <c r="AI8" i="71"/>
  <c r="AH8" i="71"/>
  <c r="AG8" i="71"/>
  <c r="AF8" i="71"/>
  <c r="AE8" i="71"/>
  <c r="AD8" i="71"/>
  <c r="AC8" i="71"/>
  <c r="AB8" i="71"/>
  <c r="AA8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F40" i="69"/>
  <c r="BC7" i="71"/>
  <c r="BB7" i="71"/>
  <c r="BA7" i="71"/>
  <c r="AZ7" i="71"/>
  <c r="AY7" i="71"/>
  <c r="AX7" i="71"/>
  <c r="AW7" i="71"/>
  <c r="AV7" i="71"/>
  <c r="AU7" i="71"/>
  <c r="AT7" i="71"/>
  <c r="AS7" i="71"/>
  <c r="AR7" i="71"/>
  <c r="AQ7" i="71"/>
  <c r="AP7" i="71"/>
  <c r="AO7" i="71"/>
  <c r="AN7" i="71"/>
  <c r="AM7" i="71"/>
  <c r="AL7" i="71"/>
  <c r="AK7" i="71"/>
  <c r="AJ7" i="71"/>
  <c r="AI7" i="71"/>
  <c r="AH7" i="71"/>
  <c r="AG7" i="71"/>
  <c r="AF7" i="71"/>
  <c r="AE7" i="71"/>
  <c r="AD7" i="71"/>
  <c r="AC7" i="71"/>
  <c r="AB7" i="71"/>
  <c r="AA7" i="7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BV14" i="69"/>
  <c r="BW14" i="69" s="1"/>
  <c r="BV13" i="69"/>
  <c r="BW13" i="69" s="1"/>
  <c r="BV12" i="69"/>
  <c r="BW12" i="69" s="1"/>
  <c r="BV11" i="69"/>
  <c r="BW11" i="69" s="1"/>
  <c r="BV10" i="69"/>
  <c r="BW10" i="69" s="1"/>
  <c r="BV9" i="69"/>
  <c r="BW9" i="69" s="1"/>
  <c r="BV8" i="69"/>
  <c r="BW8" i="69" s="1"/>
  <c r="BV7" i="69"/>
  <c r="BW7" i="69" s="1"/>
  <c r="BM10" i="69"/>
  <c r="BL10" i="69"/>
  <c r="BK10" i="69"/>
  <c r="BJ10" i="69"/>
  <c r="BM9" i="69"/>
  <c r="BL9" i="69"/>
  <c r="BK9" i="69"/>
  <c r="BJ9" i="69"/>
  <c r="BM8" i="69"/>
  <c r="BL8" i="69"/>
  <c r="BK8" i="69"/>
  <c r="BJ8" i="69"/>
  <c r="BM7" i="69"/>
  <c r="BL7" i="69"/>
  <c r="BK7" i="69"/>
  <c r="BJ7" i="69"/>
  <c r="BM6" i="69"/>
  <c r="BL6" i="69"/>
  <c r="BK6" i="69"/>
  <c r="BJ6" i="69"/>
  <c r="BM5" i="69"/>
  <c r="BL5" i="69"/>
  <c r="BK5" i="69"/>
  <c r="BJ5" i="69"/>
  <c r="BM4" i="69"/>
  <c r="BL4" i="69"/>
  <c r="BK4" i="69"/>
  <c r="BJ4" i="69"/>
  <c r="BM3" i="69"/>
  <c r="BL3" i="69"/>
  <c r="BK3" i="69"/>
  <c r="BJ3" i="69"/>
  <c r="G39" i="69"/>
  <c r="H39" i="69" s="1"/>
  <c r="I39" i="69" s="1"/>
  <c r="J39" i="69" s="1"/>
  <c r="K39" i="69" s="1"/>
  <c r="L39" i="69" s="1"/>
  <c r="M39" i="69" s="1"/>
  <c r="N39" i="69" s="1"/>
  <c r="O39" i="69" s="1"/>
  <c r="P39" i="69" s="1"/>
  <c r="Q39" i="69" s="1"/>
  <c r="R39" i="69" s="1"/>
  <c r="S39" i="69" s="1"/>
  <c r="T39" i="69" s="1"/>
  <c r="U39" i="69" s="1"/>
  <c r="V39" i="69" s="1"/>
  <c r="W39" i="69" s="1"/>
  <c r="X39" i="69" s="1"/>
  <c r="Y39" i="69" s="1"/>
  <c r="Z39" i="69" s="1"/>
  <c r="AA39" i="69" s="1"/>
  <c r="AB39" i="69" s="1"/>
  <c r="AC39" i="69" s="1"/>
  <c r="AD39" i="69" s="1"/>
  <c r="AE39" i="69" s="1"/>
  <c r="AF39" i="69" s="1"/>
  <c r="AG39" i="69" s="1"/>
  <c r="AH39" i="69" s="1"/>
  <c r="AI39" i="69" s="1"/>
  <c r="AJ39" i="69" s="1"/>
  <c r="AK39" i="69" s="1"/>
  <c r="AL39" i="69" s="1"/>
  <c r="AM39" i="69" s="1"/>
  <c r="AN39" i="69" s="1"/>
  <c r="AO39" i="69" s="1"/>
  <c r="AP39" i="69" s="1"/>
  <c r="AQ39" i="69" s="1"/>
  <c r="AR39" i="69" s="1"/>
  <c r="AS39" i="69" s="1"/>
  <c r="AT39" i="69" s="1"/>
  <c r="AU39" i="69" s="1"/>
  <c r="AV39" i="69" s="1"/>
  <c r="AW39" i="69" s="1"/>
  <c r="AX39" i="69" s="1"/>
  <c r="AY39" i="69" s="1"/>
  <c r="AZ39" i="69" s="1"/>
  <c r="BA39" i="69" s="1"/>
  <c r="BB39" i="69" s="1"/>
  <c r="BC39" i="69" s="1"/>
  <c r="BD39" i="69" s="1"/>
  <c r="BE39" i="69" s="1"/>
  <c r="BF39" i="69" s="1"/>
  <c r="BG39" i="69" s="1"/>
  <c r="BG40" i="69" s="1"/>
  <c r="E14" i="69"/>
  <c r="BG12" i="69"/>
  <c r="BF12" i="69"/>
  <c r="BE12" i="69"/>
  <c r="BD12" i="69"/>
  <c r="BC12" i="69"/>
  <c r="BB12" i="69"/>
  <c r="BA12" i="69"/>
  <c r="AZ12" i="69"/>
  <c r="AY12" i="69"/>
  <c r="AX12" i="69"/>
  <c r="AW12" i="69"/>
  <c r="AV12" i="69"/>
  <c r="AU12" i="69"/>
  <c r="AT12" i="69"/>
  <c r="AS12" i="69"/>
  <c r="AR12" i="69"/>
  <c r="AQ12" i="69"/>
  <c r="AP12" i="69"/>
  <c r="AO12" i="69"/>
  <c r="AN12" i="69"/>
  <c r="AM12" i="69"/>
  <c r="AL12" i="69"/>
  <c r="AK12" i="69"/>
  <c r="AJ12" i="69"/>
  <c r="AI12" i="69"/>
  <c r="AH12" i="69"/>
  <c r="AG12" i="69"/>
  <c r="AF12" i="69"/>
  <c r="AE12" i="69"/>
  <c r="AD12" i="69"/>
  <c r="AC12" i="69"/>
  <c r="Y3" i="71" s="1"/>
  <c r="AB12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H3" i="71" l="1"/>
  <c r="P3" i="71"/>
  <c r="X3" i="71"/>
  <c r="AF3" i="71"/>
  <c r="AN3" i="71"/>
  <c r="J3" i="71"/>
  <c r="AH3" i="71"/>
  <c r="S3" i="71"/>
  <c r="S6" i="71" s="1"/>
  <c r="AB3" i="71"/>
  <c r="AB6" i="71" s="1"/>
  <c r="U3" i="71"/>
  <c r="AK3" i="71"/>
  <c r="AK6" i="71" s="1"/>
  <c r="AS3" i="71"/>
  <c r="BA3" i="71"/>
  <c r="AV3" i="71"/>
  <c r="AV6" i="71" s="1"/>
  <c r="I3" i="71"/>
  <c r="Q3" i="71"/>
  <c r="Q6" i="71" s="1"/>
  <c r="AG3" i="71"/>
  <c r="AG6" i="71" s="1"/>
  <c r="AW3" i="71"/>
  <c r="B3" i="71"/>
  <c r="R3" i="71"/>
  <c r="AP3" i="71"/>
  <c r="AP6" i="71" s="1"/>
  <c r="C3" i="71"/>
  <c r="AA3" i="71"/>
  <c r="AQ3" i="71"/>
  <c r="AQ6" i="71" s="1"/>
  <c r="L3" i="71"/>
  <c r="X6" i="71" s="1"/>
  <c r="AJ3" i="71"/>
  <c r="AJ6" i="71" s="1"/>
  <c r="AR3" i="71"/>
  <c r="E3" i="71"/>
  <c r="AC3" i="71"/>
  <c r="F3" i="71"/>
  <c r="N3" i="71"/>
  <c r="N6" i="71" s="1"/>
  <c r="V3" i="71"/>
  <c r="V6" i="71" s="1"/>
  <c r="AD3" i="71"/>
  <c r="AL3" i="71"/>
  <c r="AT3" i="71"/>
  <c r="BB3" i="71"/>
  <c r="AO3" i="71"/>
  <c r="AO6" i="71" s="1"/>
  <c r="Z3" i="71"/>
  <c r="AX3" i="71"/>
  <c r="AX6" i="71" s="1"/>
  <c r="K3" i="71"/>
  <c r="AI3" i="71"/>
  <c r="AY3" i="71"/>
  <c r="D3" i="71"/>
  <c r="T3" i="71"/>
  <c r="AF6" i="71" s="1"/>
  <c r="AZ3" i="71"/>
  <c r="AZ6" i="71" s="1"/>
  <c r="M3" i="71"/>
  <c r="Y6" i="71" s="1"/>
  <c r="G3" i="71"/>
  <c r="O3" i="71"/>
  <c r="O6" i="71" s="1"/>
  <c r="W3" i="71"/>
  <c r="AE3" i="71"/>
  <c r="AM3" i="71"/>
  <c r="AU3" i="71"/>
  <c r="AU6" i="71" s="1"/>
  <c r="BC3" i="71"/>
  <c r="R6" i="71"/>
  <c r="Z6" i="71"/>
  <c r="AH6" i="71"/>
  <c r="AI6" i="71"/>
  <c r="AY6" i="71"/>
  <c r="AR6" i="71"/>
  <c r="BA6" i="71"/>
  <c r="BJ12" i="69"/>
  <c r="BK12" i="69"/>
  <c r="BK13" i="69" s="1"/>
  <c r="BL12" i="69"/>
  <c r="BL13" i="69" s="1"/>
  <c r="BF40" i="69"/>
  <c r="BM12" i="69"/>
  <c r="BC13" i="69"/>
  <c r="Y13" i="69"/>
  <c r="AO13" i="69"/>
  <c r="BE13" i="69"/>
  <c r="AG13" i="69"/>
  <c r="AW13" i="69"/>
  <c r="AJ13" i="69"/>
  <c r="BB40" i="69"/>
  <c r="U40" i="69"/>
  <c r="BA40" i="69"/>
  <c r="N40" i="69"/>
  <c r="AT40" i="69"/>
  <c r="G40" i="69"/>
  <c r="AE40" i="69"/>
  <c r="AM40" i="69"/>
  <c r="AU40" i="69"/>
  <c r="BC40" i="69"/>
  <c r="H40" i="69"/>
  <c r="P40" i="69"/>
  <c r="X40" i="69"/>
  <c r="AF40" i="69"/>
  <c r="AN40" i="69"/>
  <c r="AV40" i="69"/>
  <c r="BD40" i="69"/>
  <c r="AC40" i="69"/>
  <c r="V40" i="69"/>
  <c r="AW40" i="69"/>
  <c r="M40" i="69"/>
  <c r="AS40" i="69"/>
  <c r="AL40" i="69"/>
  <c r="O40" i="69"/>
  <c r="I40" i="69"/>
  <c r="Q40" i="69"/>
  <c r="Y40" i="69"/>
  <c r="AG40" i="69"/>
  <c r="AO40" i="69"/>
  <c r="BE40" i="69"/>
  <c r="S13" i="69"/>
  <c r="AA13" i="69"/>
  <c r="AI13" i="69"/>
  <c r="J40" i="69"/>
  <c r="R40" i="69"/>
  <c r="Z40" i="69"/>
  <c r="AH40" i="69"/>
  <c r="AP40" i="69"/>
  <c r="AX40" i="69"/>
  <c r="AK40" i="69"/>
  <c r="AD40" i="69"/>
  <c r="W40" i="69"/>
  <c r="T13" i="69"/>
  <c r="AB13" i="69"/>
  <c r="AR13" i="69"/>
  <c r="AZ13" i="69"/>
  <c r="K40" i="69"/>
  <c r="S40" i="69"/>
  <c r="AA40" i="69"/>
  <c r="AI40" i="69"/>
  <c r="AQ40" i="69"/>
  <c r="AY40" i="69"/>
  <c r="U13" i="69"/>
  <c r="AC13" i="69"/>
  <c r="AK13" i="69"/>
  <c r="AS13" i="69"/>
  <c r="L40" i="69"/>
  <c r="T40" i="69"/>
  <c r="AB40" i="69"/>
  <c r="AJ40" i="69"/>
  <c r="AR40" i="69"/>
  <c r="AZ40" i="69"/>
  <c r="BA13" i="69"/>
  <c r="R13" i="69"/>
  <c r="AH13" i="69"/>
  <c r="AP13" i="69"/>
  <c r="AX13" i="69"/>
  <c r="BF13" i="69"/>
  <c r="BB13" i="69"/>
  <c r="W13" i="69"/>
  <c r="AM13" i="69"/>
  <c r="Z13" i="69"/>
  <c r="AE13" i="69"/>
  <c r="AU13" i="69"/>
  <c r="X13" i="69"/>
  <c r="AF13" i="69"/>
  <c r="AN13" i="69"/>
  <c r="AV13" i="69"/>
  <c r="BD13" i="69"/>
  <c r="AQ13" i="69"/>
  <c r="AY13" i="69"/>
  <c r="BG13" i="69"/>
  <c r="V13" i="69"/>
  <c r="AD13" i="69"/>
  <c r="AL13" i="69"/>
  <c r="AT13" i="69"/>
  <c r="T6" i="71" l="1"/>
  <c r="P6" i="71"/>
  <c r="AA6" i="71"/>
  <c r="BM13" i="69"/>
  <c r="U6" i="71"/>
  <c r="AD6" i="71"/>
  <c r="BC6" i="71"/>
  <c r="AN6" i="71"/>
  <c r="AM6" i="71"/>
  <c r="BB6" i="71"/>
  <c r="AE6" i="71"/>
  <c r="AT6" i="71"/>
  <c r="AS6" i="71"/>
  <c r="AC6" i="71"/>
  <c r="W6" i="71"/>
  <c r="AL6" i="71"/>
  <c r="AW6" i="71"/>
  <c r="E43" i="69"/>
  <c r="BL40" i="69"/>
  <c r="BJ40" i="69"/>
  <c r="BM40" i="69"/>
  <c r="BK40" i="69"/>
  <c r="BK41" i="69" l="1"/>
  <c r="BM41" i="69"/>
  <c r="BL41" i="6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dlozano\Documents\Mis archivos de origen de datos\unesid-hyperv1 UNESIDBI UNESID DM.odc" keepAlive="1" name="unesid-hyperv1 UNESIDBI UNESID DM1" type="5" refreshedVersion="8" background="1" saveData="1">
    <dbPr connection="Provider=MSOLAP.8;Integrated Security=SSPI;Persist Security Info=True;Initial Catalog=UNESIDBI;Data Source=unesid-hyperv1;MDX Compatibility=1;Safety Options=2;MDX Missing Member Mode=Error;Update Isolation Level=2" command="UNESID DM" commandType="1"/>
    <olapPr sendLocale="1" rowDrillCount="1000"/>
  </connection>
</connections>
</file>

<file path=xl/sharedStrings.xml><?xml version="1.0" encoding="utf-8"?>
<sst xmlns="http://schemas.openxmlformats.org/spreadsheetml/2006/main" count="284" uniqueCount="110">
  <si>
    <t>2018</t>
  </si>
  <si>
    <t>2019</t>
  </si>
  <si>
    <t>2020</t>
  </si>
  <si>
    <t>2021</t>
  </si>
  <si>
    <t>2022</t>
  </si>
  <si>
    <t>Alava</t>
  </si>
  <si>
    <t>Vizcaya</t>
  </si>
  <si>
    <t>Guipuzcoa</t>
  </si>
  <si>
    <t>EMPRESA</t>
  </si>
  <si>
    <t>Loiu</t>
  </si>
  <si>
    <t>Olaberría</t>
  </si>
  <si>
    <t>Sestao</t>
  </si>
  <si>
    <t>Valle de Trapaga</t>
  </si>
  <si>
    <t>Basauri</t>
  </si>
  <si>
    <t>Amurrio</t>
  </si>
  <si>
    <t>provincia</t>
  </si>
  <si>
    <t>localidad</t>
  </si>
  <si>
    <t>Total</t>
  </si>
  <si>
    <t>Total datos</t>
  </si>
  <si>
    <t>Empresa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</si>
  <si>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</si>
  <si>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</si>
  <si>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</si>
  <si>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</si>
  <si>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</si>
  <si>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</si>
  <si>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</si>
  <si>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</si>
  <si>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</si>
  <si>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</si>
  <si>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</si>
  <si>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</si>
  <si>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Valores missing (o cero)</t>
  </si>
  <si>
    <t>Cifras anuales</t>
  </si>
  <si>
    <t>llk</t>
  </si>
  <si>
    <t>Missings por planta</t>
  </si>
  <si>
    <r>
      <t>Comunidad autónoma:</t>
    </r>
    <r>
      <rPr>
        <sz val="10"/>
        <color theme="1"/>
        <rFont val="Calibri"/>
        <family val="2"/>
        <scheme val="minor"/>
      </rPr>
      <t>País Vasco</t>
    </r>
  </si>
  <si>
    <r>
      <t>Provincia:</t>
    </r>
    <r>
      <rPr>
        <sz val="10"/>
        <color theme="1"/>
        <rFont val="Calibri"/>
        <family val="2"/>
        <scheme val="minor"/>
      </rPr>
      <t>todas</t>
    </r>
  </si>
  <si>
    <r>
      <t>Actividades:</t>
    </r>
    <r>
      <rPr>
        <sz val="10"/>
        <color theme="1"/>
        <rFont val="Calibri"/>
        <family val="2"/>
        <scheme val="minor"/>
      </rPr>
      <t>2.- Producción y transformación de metales</t>
    </r>
  </si>
  <si>
    <r>
      <t>Categorías:</t>
    </r>
    <r>
      <rPr>
        <sz val="10"/>
        <color theme="1"/>
        <rFont val="Calibri"/>
        <family val="2"/>
        <scheme val="minor"/>
      </rPr>
      <t>, 2.b.Producción de fundición o aceros brutos (capacidad &gt; 2,5 t/h)</t>
    </r>
  </si>
  <si>
    <r>
      <t>Demarcación hidrográfica:</t>
    </r>
    <r>
      <rPr>
        <sz val="10"/>
        <color theme="1"/>
        <rFont val="Calibri"/>
        <family val="2"/>
        <scheme val="minor"/>
      </rPr>
      <t>todas</t>
    </r>
  </si>
  <si>
    <r>
      <t>complejos registrados:</t>
    </r>
    <r>
      <rPr>
        <sz val="10"/>
        <color theme="1"/>
        <rFont val="Calibri"/>
        <family val="2"/>
        <scheme val="minor"/>
      </rPr>
      <t>todos</t>
    </r>
  </si>
  <si>
    <r>
      <t>estado:</t>
    </r>
    <r>
      <rPr>
        <sz val="10"/>
        <color theme="1"/>
        <rFont val="Calibri"/>
        <family val="2"/>
        <scheme val="minor"/>
      </rPr>
      <t>todas</t>
    </r>
  </si>
  <si>
    <t>Código PRTR</t>
  </si>
  <si>
    <t>Nombre del complejo</t>
  </si>
  <si>
    <t>Dirección</t>
  </si>
  <si>
    <t>Código postal</t>
  </si>
  <si>
    <t>Provincia</t>
  </si>
  <si>
    <t>Comunidad autónoma</t>
  </si>
  <si>
    <t>ACERÍA DE ÁLAVA, S.A.</t>
  </si>
  <si>
    <t>SARATXO</t>
  </si>
  <si>
    <t>País Vasco</t>
  </si>
  <si>
    <t>SIDENOR INDUSTRIAL, S.L. (FABRICA DE BASAURI)</t>
  </si>
  <si>
    <t>BARRIO DE UGARTE</t>
  </si>
  <si>
    <t>CAF-BEASAIN</t>
  </si>
  <si>
    <t>JOSÉ MIGUEL ITURRIOZ</t>
  </si>
  <si>
    <t>Guipúzcoa</t>
  </si>
  <si>
    <t>ARCELOR OLABERRIA, S.L. (ACERALIA PERFILES OLABERRÍA, S.L.)</t>
  </si>
  <si>
    <t>CARRETERA NACIONAL I MADRID-IRÚN</t>
  </si>
  <si>
    <t>GERDAU ACEROS ESPECIALES EUROPA, S.L. (AZKOITIA)</t>
  </si>
  <si>
    <t>ZUMÁRRAGA</t>
  </si>
  <si>
    <t>CORRUGADOS AZPEITIA</t>
  </si>
  <si>
    <t>FORU IBILBIDEA</t>
  </si>
  <si>
    <t>GIPUZKOAKO ZEPA SIDERURGIKOA, S.L. (PLANTA ZUMARRAGA)</t>
  </si>
  <si>
    <t>ARTIZ,</t>
  </si>
  <si>
    <t>TUBOS REUNIDOS INDUSTRIAL S.L.U.</t>
  </si>
  <si>
    <t>SAGARRIBAI</t>
  </si>
  <si>
    <t>ACEROS INOXIDABLES OLARRA, S.A. (ACEROS INOXIDABLES OLARRA)</t>
  </si>
  <si>
    <t>LARRABARRI</t>
  </si>
  <si>
    <t>ARCELORMITTAL SESTAO, S.L.</t>
  </si>
  <si>
    <t>CHAVARRI</t>
  </si>
  <si>
    <t>NERVACERO , S.A. (NERVACERO)</t>
  </si>
  <si>
    <t>BALLONTI</t>
  </si>
  <si>
    <t>ACERALIA PERFILES BERGARA, S.A. (ACERALIA PERFILES BERGARA, S.A.)</t>
  </si>
  <si>
    <t>IBARRA,</t>
  </si>
  <si>
    <t>GSB ACERO, S.A. (GSB ACERO, S.A.-LEGAZPIA)</t>
  </si>
  <si>
    <t>UROLA</t>
  </si>
  <si>
    <t>PRODUCTOS TUBULARES , S.A. (PRODUCTOS TUBULARES (CENTRO DE ACERÍA))</t>
  </si>
  <si>
    <t>VEGA VIEJA</t>
  </si>
  <si>
    <t>Latitud</t>
  </si>
  <si>
    <t>longitud</t>
  </si>
  <si>
    <t>Longitud</t>
  </si>
  <si>
    <t>43.268739 </t>
  </si>
  <si>
    <t> 43.041305</t>
  </si>
  <si>
    <t>43.186042 </t>
  </si>
  <si>
    <t>En UNESID</t>
  </si>
  <si>
    <t>UNESID</t>
  </si>
  <si>
    <t>Indice B_2021</t>
  </si>
  <si>
    <t>INE_IPI_BnInt</t>
  </si>
  <si>
    <t>* Ambas series contienen datos de solo el País Vasco</t>
  </si>
  <si>
    <t>INE_IPI_Acero_Nac</t>
  </si>
  <si>
    <t>Correlación entre las variaciones</t>
  </si>
  <si>
    <t>cod de empresa</t>
  </si>
  <si>
    <t>% de datos missings</t>
  </si>
  <si>
    <t>En funcionamiento</t>
  </si>
  <si>
    <t>si</t>
  </si>
  <si>
    <t>no</t>
  </si>
  <si>
    <t>grid_id</t>
  </si>
  <si>
    <t>year</t>
  </si>
  <si>
    <t>month</t>
  </si>
  <si>
    <t>NO2</t>
  </si>
  <si>
    <t>CO</t>
  </si>
  <si>
    <t>SO2</t>
  </si>
  <si>
    <t>O3</t>
  </si>
  <si>
    <t>AAI</t>
  </si>
  <si>
    <t>NTL</t>
  </si>
  <si>
    <t>LST</t>
  </si>
  <si>
    <t>tiene_planta</t>
  </si>
  <si>
    <t>Prod</t>
  </si>
  <si>
    <t>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</si>
</sst>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 * #,##0_ ;_ * \-#,##0_ ;_ * &quot;-&quot;_ ;_ @_ "/>
    <numFmt numFmtId="164" formatCode="0.0_ ;[Red]\-0.0\ "/>
    <numFmt numFmtId="165" formatCode="#,##0.00000"/>
    <numFmt numFmtId="166" formatCode="#,##0.000000"/>
    <numFmt numFmtId="167" formatCode="0.00000"/>
    <numFmt numFmtId="168" formatCode="_ * #,##0.0_ ;_ * \-#,##0.0_ ;_ * &quot;-&quot;_ ;_ @_ 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BAD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4" applyNumberFormat="0" applyAlignment="0" applyProtection="0"/>
    <xf numFmtId="0" fontId="12" fillId="9" borderId="5" applyNumberFormat="0" applyAlignment="0" applyProtection="0"/>
    <xf numFmtId="0" fontId="13" fillId="9" borderId="4" applyNumberFormat="0" applyAlignment="0" applyProtection="0"/>
    <xf numFmtId="0" fontId="14" fillId="0" borderId="6" applyNumberFormat="0" applyFill="0" applyAlignment="0" applyProtection="0"/>
    <xf numFmtId="0" fontId="15" fillId="10" borderId="7" applyNumberFormat="0" applyAlignment="0" applyProtection="0"/>
    <xf numFmtId="0" fontId="16" fillId="0" borderId="0" applyNumberFormat="0" applyFill="0" applyBorder="0" applyAlignment="0" applyProtection="0"/>
    <xf numFmtId="0" fontId="3" fillId="11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21" fillId="0" borderId="0" applyNumberFormat="0" applyFill="0" applyBorder="0" applyAlignment="0" applyProtection="0"/>
    <xf numFmtId="41" fontId="3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3" borderId="0" xfId="0" applyNumberFormat="1" applyFill="1"/>
    <xf numFmtId="0" fontId="1" fillId="3" borderId="0" xfId="0" applyFont="1" applyFill="1"/>
    <xf numFmtId="3" fontId="1" fillId="3" borderId="0" xfId="0" applyNumberFormat="1" applyFont="1" applyFill="1"/>
    <xf numFmtId="164" fontId="0" fillId="3" borderId="0" xfId="0" applyNumberFormat="1" applyFill="1"/>
    <xf numFmtId="0" fontId="2" fillId="3" borderId="0" xfId="0" applyFont="1" applyFill="1"/>
    <xf numFmtId="0" fontId="0" fillId="4" borderId="0" xfId="0" applyFill="1"/>
    <xf numFmtId="0" fontId="0" fillId="2" borderId="0" xfId="0" applyFill="1"/>
    <xf numFmtId="11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/>
    <xf numFmtId="0" fontId="23" fillId="3" borderId="0" xfId="0" applyFont="1" applyFill="1"/>
    <xf numFmtId="0" fontId="22" fillId="3" borderId="0" xfId="0" applyFont="1" applyFill="1" applyAlignment="1">
      <alignment vertical="center" wrapText="1"/>
    </xf>
    <xf numFmtId="0" fontId="21" fillId="36" borderId="10" xfId="43" applyFill="1" applyBorder="1" applyAlignment="1">
      <alignment horizontal="center" vertical="center" wrapText="1"/>
    </xf>
    <xf numFmtId="1" fontId="19" fillId="37" borderId="10" xfId="0" applyNumberFormat="1" applyFont="1" applyFill="1" applyBorder="1" applyAlignment="1">
      <alignment vertical="center" wrapText="1"/>
    </xf>
    <xf numFmtId="0" fontId="19" fillId="37" borderId="10" xfId="0" applyFont="1" applyFill="1" applyBorder="1" applyAlignment="1">
      <alignment vertical="center" wrapText="1"/>
    </xf>
    <xf numFmtId="0" fontId="21" fillId="37" borderId="10" xfId="43" applyFill="1" applyBorder="1" applyAlignment="1">
      <alignment vertical="center" wrapText="1"/>
    </xf>
    <xf numFmtId="1" fontId="19" fillId="38" borderId="10" xfId="0" applyNumberFormat="1" applyFont="1" applyFill="1" applyBorder="1" applyAlignment="1">
      <alignment vertical="center" wrapText="1"/>
    </xf>
    <xf numFmtId="0" fontId="19" fillId="38" borderId="10" xfId="0" applyFont="1" applyFill="1" applyBorder="1" applyAlignment="1">
      <alignment vertical="center" wrapText="1"/>
    </xf>
    <xf numFmtId="0" fontId="21" fillId="38" borderId="10" xfId="43" applyFill="1" applyBorder="1" applyAlignment="1">
      <alignment vertical="center" wrapText="1"/>
    </xf>
    <xf numFmtId="2" fontId="0" fillId="3" borderId="0" xfId="0" applyNumberFormat="1" applyFill="1"/>
    <xf numFmtId="0" fontId="24" fillId="3" borderId="0" xfId="0" applyFont="1" applyFill="1"/>
    <xf numFmtId="9" fontId="0" fillId="3" borderId="0" xfId="1" applyFont="1" applyFill="1"/>
    <xf numFmtId="0" fontId="21" fillId="36" borderId="12" xfId="43" applyFill="1" applyBorder="1" applyAlignment="1">
      <alignment horizontal="center" vertical="center" wrapText="1"/>
    </xf>
    <xf numFmtId="0" fontId="19" fillId="37" borderId="13" xfId="0" applyFont="1" applyFill="1" applyBorder="1" applyAlignment="1">
      <alignment vertical="center" wrapText="1"/>
    </xf>
    <xf numFmtId="0" fontId="21" fillId="36" borderId="11" xfId="43" applyFill="1" applyBorder="1" applyAlignment="1">
      <alignment horizontal="center" vertical="center" wrapText="1"/>
    </xf>
    <xf numFmtId="0" fontId="20" fillId="3" borderId="0" xfId="0" applyFont="1" applyFill="1"/>
    <xf numFmtId="167" fontId="0" fillId="0" borderId="0" xfId="0" applyNumberFormat="1"/>
    <xf numFmtId="0" fontId="25" fillId="37" borderId="0" xfId="0" applyFont="1" applyFill="1" applyAlignment="1">
      <alignment horizontal="right" vertical="center" wrapText="1"/>
    </xf>
    <xf numFmtId="0" fontId="26" fillId="39" borderId="0" xfId="0" applyFont="1" applyFill="1" applyAlignment="1">
      <alignment horizontal="right" vertical="center" wrapText="1"/>
    </xf>
    <xf numFmtId="0" fontId="26" fillId="37" borderId="0" xfId="0" applyFont="1" applyFill="1" applyAlignment="1">
      <alignment horizontal="right" vertical="center" wrapText="1"/>
    </xf>
    <xf numFmtId="168" fontId="0" fillId="0" borderId="0" xfId="44" applyNumberFormat="1" applyFont="1"/>
    <xf numFmtId="0" fontId="0" fillId="3" borderId="0" xfId="0" applyFill="1" applyAlignment="1">
      <alignment horizontal="right"/>
    </xf>
    <xf numFmtId="0" fontId="22" fillId="3" borderId="0" xfId="0" applyFont="1" applyFill="1" applyAlignment="1">
      <alignment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illares [0]" xfId="44" builtinId="6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E332BE4-7E41-411A-A432-EF184E936E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Nivel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'Empresas con coordenadas'!$F$1:$BG$2</c:f>
              <c:multiLvlStrCache>
                <c:ptCount val="5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'Empresas con coordenadas'!$F$12:$BG$12</c:f>
              <c:numCache>
                <c:formatCode>#,##0</c:formatCode>
                <c:ptCount val="54"/>
                <c:pt idx="0">
                  <c:v>213462</c:v>
                </c:pt>
                <c:pt idx="1">
                  <c:v>272117</c:v>
                </c:pt>
                <c:pt idx="2">
                  <c:v>285533</c:v>
                </c:pt>
                <c:pt idx="3">
                  <c:v>281484</c:v>
                </c:pt>
                <c:pt idx="4">
                  <c:v>294920</c:v>
                </c:pt>
                <c:pt idx="5">
                  <c:v>314859</c:v>
                </c:pt>
                <c:pt idx="6">
                  <c:v>194211</c:v>
                </c:pt>
                <c:pt idx="7">
                  <c:v>206862</c:v>
                </c:pt>
                <c:pt idx="8">
                  <c:v>282180</c:v>
                </c:pt>
                <c:pt idx="9">
                  <c:v>305023</c:v>
                </c:pt>
                <c:pt idx="10">
                  <c:v>241377</c:v>
                </c:pt>
                <c:pt idx="11">
                  <c:v>213552</c:v>
                </c:pt>
                <c:pt idx="12">
                  <c:v>256041</c:v>
                </c:pt>
                <c:pt idx="13">
                  <c:v>274611</c:v>
                </c:pt>
                <c:pt idx="14">
                  <c:v>324234</c:v>
                </c:pt>
                <c:pt idx="15">
                  <c:v>270865</c:v>
                </c:pt>
                <c:pt idx="16">
                  <c:v>304630</c:v>
                </c:pt>
                <c:pt idx="17">
                  <c:v>297699</c:v>
                </c:pt>
                <c:pt idx="18">
                  <c:v>219260</c:v>
                </c:pt>
                <c:pt idx="19">
                  <c:v>130574</c:v>
                </c:pt>
                <c:pt idx="20">
                  <c:v>242875</c:v>
                </c:pt>
                <c:pt idx="21">
                  <c:v>276409</c:v>
                </c:pt>
                <c:pt idx="22">
                  <c:v>276177</c:v>
                </c:pt>
                <c:pt idx="23">
                  <c:v>209612</c:v>
                </c:pt>
                <c:pt idx="24">
                  <c:v>253195</c:v>
                </c:pt>
                <c:pt idx="25">
                  <c:v>259373</c:v>
                </c:pt>
                <c:pt idx="26">
                  <c:v>271869</c:v>
                </c:pt>
                <c:pt idx="27">
                  <c:v>109446</c:v>
                </c:pt>
                <c:pt idx="28">
                  <c:v>178757</c:v>
                </c:pt>
                <c:pt idx="29">
                  <c:v>194942</c:v>
                </c:pt>
                <c:pt idx="30">
                  <c:v>164730</c:v>
                </c:pt>
                <c:pt idx="31">
                  <c:v>103392</c:v>
                </c:pt>
                <c:pt idx="32">
                  <c:v>229061</c:v>
                </c:pt>
                <c:pt idx="33">
                  <c:v>281686</c:v>
                </c:pt>
                <c:pt idx="34">
                  <c:v>258373</c:v>
                </c:pt>
                <c:pt idx="35">
                  <c:v>229329</c:v>
                </c:pt>
                <c:pt idx="36">
                  <c:v>268652</c:v>
                </c:pt>
                <c:pt idx="37">
                  <c:v>291746</c:v>
                </c:pt>
                <c:pt idx="38">
                  <c:v>309182</c:v>
                </c:pt>
                <c:pt idx="39">
                  <c:v>290357</c:v>
                </c:pt>
                <c:pt idx="40">
                  <c:v>311111</c:v>
                </c:pt>
                <c:pt idx="41">
                  <c:v>326464</c:v>
                </c:pt>
                <c:pt idx="42">
                  <c:v>291216</c:v>
                </c:pt>
                <c:pt idx="43">
                  <c:v>178796</c:v>
                </c:pt>
                <c:pt idx="44">
                  <c:v>296759</c:v>
                </c:pt>
                <c:pt idx="45">
                  <c:v>323817</c:v>
                </c:pt>
                <c:pt idx="46">
                  <c:v>274738</c:v>
                </c:pt>
                <c:pt idx="47">
                  <c:v>176256</c:v>
                </c:pt>
                <c:pt idx="48">
                  <c:v>203633</c:v>
                </c:pt>
                <c:pt idx="49">
                  <c:v>232912</c:v>
                </c:pt>
                <c:pt idx="50">
                  <c:v>236005</c:v>
                </c:pt>
                <c:pt idx="51">
                  <c:v>266591</c:v>
                </c:pt>
                <c:pt idx="52">
                  <c:v>299167</c:v>
                </c:pt>
                <c:pt idx="53">
                  <c:v>283113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1-4939-9AEF-0C6ED8207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855216"/>
        <c:axId val="1874855696"/>
      </c:barChart>
      <c:lineChart>
        <c:grouping val="standard"/>
        <c:varyColors val="0"/>
        <c:ser>
          <c:idx val="1"/>
          <c:order val="1"/>
          <c:tx>
            <c:v>Var. Anual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'Empresas con coordenadas'!$F$13:$BG$13</c:f>
              <c:numCache>
                <c:formatCode>General</c:formatCode>
                <c:ptCount val="54"/>
                <c:pt idx="12" formatCode="0.0_ ;[Red]\-0.0\ ">
                  <c:v>19.946875790538826</c:v>
                </c:pt>
                <c:pt idx="13" formatCode="0.0_ ;[Red]\-0.0\ ">
                  <c:v>0.91651752738710002</c:v>
                </c:pt>
                <c:pt idx="14" formatCode="0.0_ ;[Red]\-0.0\ ">
                  <c:v>13.553949981263116</c:v>
                </c:pt>
                <c:pt idx="15" formatCode="0.0_ ;[Red]\-0.0\ ">
                  <c:v>-3.7725057196856682</c:v>
                </c:pt>
                <c:pt idx="16" formatCode="0.0_ ;[Red]\-0.0\ ">
                  <c:v>3.2924182829241886</c:v>
                </c:pt>
                <c:pt idx="17" formatCode="0.0_ ;[Red]\-0.0\ ">
                  <c:v>-5.4500585976579998</c:v>
                </c:pt>
                <c:pt idx="18" formatCode="0.0_ ;[Red]\-0.0\ ">
                  <c:v>12.897827620474644</c:v>
                </c:pt>
                <c:pt idx="19" formatCode="0.0_ ;[Red]\-0.0\ ">
                  <c:v>-36.87869207490985</c:v>
                </c:pt>
                <c:pt idx="20" formatCode="0.0_ ;[Red]\-0.0\ ">
                  <c:v>-13.929052377914815</c:v>
                </c:pt>
                <c:pt idx="21" formatCode="0.0_ ;[Red]\-0.0\ ">
                  <c:v>-9.3809319297233316</c:v>
                </c:pt>
                <c:pt idx="22" formatCode="0.0_ ;[Red]\-0.0\ ">
                  <c:v>14.417280851116715</c:v>
                </c:pt>
                <c:pt idx="23" formatCode="0.0_ ;[Red]\-0.0\ ">
                  <c:v>-1.8449838915111911</c:v>
                </c:pt>
                <c:pt idx="24" formatCode="0.0_ ;[Red]\-0.0\ ">
                  <c:v>-1.1115407298050002</c:v>
                </c:pt>
                <c:pt idx="25" formatCode="0.0_ ;[Red]\-0.0\ ">
                  <c:v>-5.5489401371394536</c:v>
                </c:pt>
                <c:pt idx="26" formatCode="0.0_ ;[Red]\-0.0\ ">
                  <c:v>-16.150372878846767</c:v>
                </c:pt>
                <c:pt idx="27" formatCode="0.0_ ;[Red]\-0.0\ ">
                  <c:v>-59.593893637051671</c:v>
                </c:pt>
                <c:pt idx="28" formatCode="0.0_ ;[Red]\-0.0\ ">
                  <c:v>-41.319961921018944</c:v>
                </c:pt>
                <c:pt idx="29" formatCode="0.0_ ;[Red]\-0.0\ ">
                  <c:v>-34.517079331808304</c:v>
                </c:pt>
                <c:pt idx="30" formatCode="0.0_ ;[Red]\-0.0\ ">
                  <c:v>-24.870017331022538</c:v>
                </c:pt>
                <c:pt idx="31" formatCode="0.0_ ;[Red]\-0.0\ ">
                  <c:v>-20.817314319849274</c:v>
                </c:pt>
                <c:pt idx="32" formatCode="0.0_ ;[Red]\-0.0\ ">
                  <c:v>-5.6876994338651627</c:v>
                </c:pt>
                <c:pt idx="33" formatCode="0.0_ ;[Red]\-0.0\ ">
                  <c:v>1.9091274162563536</c:v>
                </c:pt>
                <c:pt idx="34" formatCode="0.0_ ;[Red]\-0.0\ ">
                  <c:v>-6.4465904112217913</c:v>
                </c:pt>
                <c:pt idx="35" formatCode="0.0_ ;[Red]\-0.0\ ">
                  <c:v>9.4064271129515475</c:v>
                </c:pt>
                <c:pt idx="36" formatCode="0.0_ ;[Red]\-0.0\ ">
                  <c:v>6.1047809000967561</c:v>
                </c:pt>
                <c:pt idx="37" formatCode="0.0_ ;[Red]\-0.0\ ">
                  <c:v>12.481252867492003</c:v>
                </c:pt>
                <c:pt idx="38" formatCode="0.0_ ;[Red]\-0.0\ ">
                  <c:v>13.724624727350303</c:v>
                </c:pt>
                <c:pt idx="39" formatCode="0.0_ ;[Red]\-0.0\ ">
                  <c:v>165.29704146337008</c:v>
                </c:pt>
                <c:pt idx="40" formatCode="0.0_ ;[Red]\-0.0\ ">
                  <c:v>74.041296284900739</c:v>
                </c:pt>
                <c:pt idx="41" formatCode="0.0_ ;[Red]\-0.0\ ">
                  <c:v>67.467246668239767</c:v>
                </c:pt>
                <c:pt idx="42" formatCode="0.0_ ;[Red]\-0.0\ ">
                  <c:v>76.783828082316518</c:v>
                </c:pt>
                <c:pt idx="43" formatCode="0.0_ ;[Red]\-0.0\ ">
                  <c:v>72.930207366140507</c:v>
                </c:pt>
                <c:pt idx="44" formatCode="0.0_ ;[Red]\-0.0\ ">
                  <c:v>29.554572799385312</c:v>
                </c:pt>
                <c:pt idx="45" formatCode="0.0_ ;[Red]\-0.0\ ">
                  <c:v>14.956724863855513</c:v>
                </c:pt>
                <c:pt idx="46" formatCode="0.0_ ;[Red]\-0.0\ ">
                  <c:v>6.3338661547452659</c:v>
                </c:pt>
                <c:pt idx="47" formatCode="0.0_ ;[Red]\-0.0\ ">
                  <c:v>-23.142733801656135</c:v>
                </c:pt>
                <c:pt idx="48" formatCode="0.0_ ;[Red]\-0.0\ ">
                  <c:v>-24.201941545196021</c:v>
                </c:pt>
                <c:pt idx="49" formatCode="0.0_ ;[Red]\-0.0\ ">
                  <c:v>-20.166171944088347</c:v>
                </c:pt>
                <c:pt idx="50" formatCode="0.0_ ;[Red]\-0.0\ ">
                  <c:v>-23.667936684541786</c:v>
                </c:pt>
                <c:pt idx="51" formatCode="0.0_ ;[Red]\-0.0\ ">
                  <c:v>-8.1850962780301444</c:v>
                </c:pt>
                <c:pt idx="52" formatCode="0.0_ ;[Red]\-0.0\ ">
                  <c:v>-3.8391442282657948</c:v>
                </c:pt>
                <c:pt idx="53" formatCode="0.0_ ;[Red]\-0.0\ ">
                  <c:v>-13.278952656341886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61-4939-9AEF-0C6ED8207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70784"/>
        <c:axId val="111876544"/>
      </c:lineChart>
      <c:catAx>
        <c:axId val="18748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4855696"/>
        <c:crosses val="autoZero"/>
        <c:auto val="1"/>
        <c:lblAlgn val="ctr"/>
        <c:lblOffset val="100"/>
        <c:noMultiLvlLbl val="0"/>
      </c:catAx>
      <c:valAx>
        <c:axId val="18748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4855216"/>
        <c:crosses val="autoZero"/>
        <c:crossBetween val="between"/>
      </c:valAx>
      <c:valAx>
        <c:axId val="111876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870784"/>
        <c:crosses val="max"/>
        <c:crossBetween val="between"/>
      </c:valAx>
      <c:catAx>
        <c:axId val="11187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1876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'Empresas con coordenadas'!$F$1:$BG$2</c:f>
              <c:multiLvlStrCache>
                <c:ptCount val="5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'Empresas con coordenadas'!$F$40:$BG$40</c:f>
              <c:numCache>
                <c:formatCode>#,##0</c:formatCode>
                <c:ptCount val="54"/>
                <c:pt idx="0">
                  <c:v>5424</c:v>
                </c:pt>
                <c:pt idx="1">
                  <c:v>6340</c:v>
                </c:pt>
                <c:pt idx="2">
                  <c:v>1551</c:v>
                </c:pt>
                <c:pt idx="3">
                  <c:v>1159</c:v>
                </c:pt>
                <c:pt idx="4">
                  <c:v>6228</c:v>
                </c:pt>
                <c:pt idx="5">
                  <c:v>5833</c:v>
                </c:pt>
                <c:pt idx="6">
                  <c:v>2535</c:v>
                </c:pt>
                <c:pt idx="7">
                  <c:v>0</c:v>
                </c:pt>
                <c:pt idx="8">
                  <c:v>5139</c:v>
                </c:pt>
                <c:pt idx="9">
                  <c:v>6159</c:v>
                </c:pt>
                <c:pt idx="10">
                  <c:v>5736</c:v>
                </c:pt>
                <c:pt idx="11">
                  <c:v>3789</c:v>
                </c:pt>
                <c:pt idx="12">
                  <c:v>4042</c:v>
                </c:pt>
                <c:pt idx="13">
                  <c:v>5284</c:v>
                </c:pt>
                <c:pt idx="14">
                  <c:v>5661</c:v>
                </c:pt>
                <c:pt idx="15">
                  <c:v>4344</c:v>
                </c:pt>
                <c:pt idx="16">
                  <c:v>5284</c:v>
                </c:pt>
                <c:pt idx="17">
                  <c:v>4864</c:v>
                </c:pt>
                <c:pt idx="18">
                  <c:v>4864</c:v>
                </c:pt>
                <c:pt idx="19">
                  <c:v>1321</c:v>
                </c:pt>
                <c:pt idx="20">
                  <c:v>6831</c:v>
                </c:pt>
                <c:pt idx="21">
                  <c:v>7532</c:v>
                </c:pt>
                <c:pt idx="22">
                  <c:v>4754</c:v>
                </c:pt>
                <c:pt idx="23">
                  <c:v>3779</c:v>
                </c:pt>
                <c:pt idx="24">
                  <c:v>5990</c:v>
                </c:pt>
                <c:pt idx="25">
                  <c:v>5990</c:v>
                </c:pt>
                <c:pt idx="26">
                  <c:v>5990</c:v>
                </c:pt>
                <c:pt idx="27">
                  <c:v>2364</c:v>
                </c:pt>
                <c:pt idx="28">
                  <c:v>4645</c:v>
                </c:pt>
                <c:pt idx="29">
                  <c:v>4887</c:v>
                </c:pt>
                <c:pt idx="30">
                  <c:v>1807</c:v>
                </c:pt>
                <c:pt idx="31">
                  <c:v>248</c:v>
                </c:pt>
                <c:pt idx="32">
                  <c:v>5978</c:v>
                </c:pt>
                <c:pt idx="33">
                  <c:v>6797</c:v>
                </c:pt>
                <c:pt idx="34">
                  <c:v>5719</c:v>
                </c:pt>
                <c:pt idx="35">
                  <c:v>3630</c:v>
                </c:pt>
                <c:pt idx="36">
                  <c:v>2400</c:v>
                </c:pt>
                <c:pt idx="37">
                  <c:v>5931</c:v>
                </c:pt>
                <c:pt idx="38">
                  <c:v>5741</c:v>
                </c:pt>
                <c:pt idx="39">
                  <c:v>3859</c:v>
                </c:pt>
                <c:pt idx="40">
                  <c:v>4023</c:v>
                </c:pt>
                <c:pt idx="41">
                  <c:v>6005</c:v>
                </c:pt>
                <c:pt idx="42">
                  <c:v>6674</c:v>
                </c:pt>
                <c:pt idx="43">
                  <c:v>799</c:v>
                </c:pt>
                <c:pt idx="44">
                  <c:v>6820</c:v>
                </c:pt>
                <c:pt idx="45">
                  <c:v>5913</c:v>
                </c:pt>
                <c:pt idx="46">
                  <c:v>6262</c:v>
                </c:pt>
                <c:pt idx="47">
                  <c:v>6262</c:v>
                </c:pt>
                <c:pt idx="48">
                  <c:v>4670</c:v>
                </c:pt>
                <c:pt idx="49">
                  <c:v>6578</c:v>
                </c:pt>
                <c:pt idx="50">
                  <c:v>6279</c:v>
                </c:pt>
                <c:pt idx="51">
                  <c:v>3726</c:v>
                </c:pt>
                <c:pt idx="52">
                  <c:v>6620</c:v>
                </c:pt>
                <c:pt idx="53">
                  <c:v>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5-47A7-BC6D-1A120E2F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855216"/>
        <c:axId val="1874855696"/>
      </c:barChart>
      <c:catAx>
        <c:axId val="18748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4855696"/>
        <c:crosses val="autoZero"/>
        <c:auto val="1"/>
        <c:lblAlgn val="ctr"/>
        <c:lblOffset val="100"/>
        <c:noMultiLvlLbl val="0"/>
      </c:catAx>
      <c:valAx>
        <c:axId val="18748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485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Nivel Anual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'Empresas con coordenadas'!$BJ$2:$BM$2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'Empresas con coordenadas'!$BJ$12:$BM$12</c:f>
              <c:numCache>
                <c:formatCode>#,##0</c:formatCode>
                <c:ptCount val="4"/>
                <c:pt idx="0">
                  <c:v>3105580</c:v>
                </c:pt>
                <c:pt idx="1">
                  <c:v>3082987</c:v>
                </c:pt>
                <c:pt idx="2">
                  <c:v>2534153</c:v>
                </c:pt>
                <c:pt idx="3">
                  <c:v>3339094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2-4FE9-A010-59C96262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89024"/>
        <c:axId val="111894784"/>
      </c:barChart>
      <c:lineChart>
        <c:grouping val="standard"/>
        <c:varyColors val="0"/>
        <c:ser>
          <c:idx val="1"/>
          <c:order val="1"/>
          <c:tx>
            <c:v>Var.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'Empresas con coordenadas'!$BJ$13:$BM$13</c:f>
              <c:numCache>
                <c:formatCode>0.0_ ;[Red]\-0.0\ </c:formatCode>
                <c:ptCount val="4"/>
                <c:pt idx="1">
                  <c:v>-0.72749695709013906</c:v>
                </c:pt>
                <c:pt idx="2">
                  <c:v>-17.802021221626944</c:v>
                </c:pt>
                <c:pt idx="3">
                  <c:v>31.763709610272144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2-4FE9-A010-59C96262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869392"/>
        <c:axId val="1882351488"/>
      </c:lineChart>
      <c:catAx>
        <c:axId val="1118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894784"/>
        <c:crosses val="autoZero"/>
        <c:auto val="1"/>
        <c:lblAlgn val="ctr"/>
        <c:lblOffset val="100"/>
        <c:noMultiLvlLbl val="0"/>
      </c:catAx>
      <c:valAx>
        <c:axId val="1118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889024"/>
        <c:crosses val="autoZero"/>
        <c:crossBetween val="between"/>
      </c:valAx>
      <c:valAx>
        <c:axId val="1882351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8869392"/>
        <c:crosses val="max"/>
        <c:crossBetween val="between"/>
      </c:valAx>
      <c:catAx>
        <c:axId val="1828869392"/>
        <c:scaling>
          <c:orientation val="minMax"/>
        </c:scaling>
        <c:delete val="1"/>
        <c:axPos val="b"/>
        <c:majorTickMark val="out"/>
        <c:minorTickMark val="none"/>
        <c:tickLblPos val="nextTo"/>
        <c:crossAx val="188235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Participación</a:t>
            </a:r>
            <a:r>
              <a:rPr lang="es-CL" baseline="0"/>
              <a:t> por planta (base 2018)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4-4DD2-A9E6-4E389CEC0F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4-4DD2-A9E6-4E389CEC0F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4-4DD2-A9E6-4E389CEC0F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44-4DD2-A9E6-4E389CEC0F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44-4DD2-A9E6-4E389CEC0F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44-4DD2-A9E6-4E389CEC0F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44-4DD2-A9E6-4E389CEC0F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44-4DD2-A9E6-4E389CEC0FEA}"/>
              </c:ext>
            </c:extLst>
          </c:dPt>
          <c:cat>
            <c:multiLvlStrRef>
              <c:f>'Empresas con coordenadas'!$A$3:$D$10</c:f>
              <c:multiLvlStrCache>
                <c:ptCount val="8"/>
                <c:lvl>
                  <c:pt idx="0">
                    <c:v>Amurrio</c:v>
                  </c:pt>
                  <c:pt idx="1">
                    <c:v>Loiu</c:v>
                  </c:pt>
                  <c:pt idx="2">
                    <c:v>Olaberría</c:v>
                  </c:pt>
                  <c:pt idx="3">
                    <c:v>Sestao</c:v>
                  </c:pt>
                  <c:pt idx="4">
                    <c:v>Valle de Trapaga</c:v>
                  </c:pt>
                  <c:pt idx="5">
                    <c:v>Sestao</c:v>
                  </c:pt>
                  <c:pt idx="6">
                    <c:v>Basauri</c:v>
                  </c:pt>
                  <c:pt idx="7">
                    <c:v>Amurrio</c:v>
                  </c:pt>
                </c:lvl>
                <c:lvl>
                  <c:pt idx="0">
                    <c:v>-3.001310</c:v>
                  </c:pt>
                  <c:pt idx="1">
                    <c:v>-2.910000</c:v>
                  </c:pt>
                  <c:pt idx="2">
                    <c:v>-2.216001</c:v>
                  </c:pt>
                  <c:pt idx="3">
                    <c:v>-2.998450</c:v>
                  </c:pt>
                  <c:pt idx="4">
                    <c:v>-3.020770</c:v>
                  </c:pt>
                  <c:pt idx="5">
                    <c:v>-3.006360</c:v>
                  </c:pt>
                  <c:pt idx="6">
                    <c:v>-3.153110</c:v>
                  </c:pt>
                  <c:pt idx="7">
                    <c:v>-2.995680</c:v>
                  </c:pt>
                </c:lvl>
                <c:lvl>
                  <c:pt idx="0">
                    <c:v>43.03490</c:v>
                  </c:pt>
                  <c:pt idx="1">
                    <c:v>43.29501</c:v>
                  </c:pt>
                  <c:pt idx="2">
                    <c:v>43.04170</c:v>
                  </c:pt>
                  <c:pt idx="3">
                    <c:v>43.31040</c:v>
                  </c:pt>
                  <c:pt idx="4">
                    <c:v>43.30990</c:v>
                  </c:pt>
                  <c:pt idx="5">
                    <c:v>43.29940</c:v>
                  </c:pt>
                  <c:pt idx="6">
                    <c:v>43.26870</c:v>
                  </c:pt>
                  <c:pt idx="7">
                    <c:v>43.07760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</c:multiLvlStrCache>
            </c:multiLvlStrRef>
          </c:cat>
          <c:val>
            <c:numRef>
              <c:f>'Empresas con coordenadas'!$BJ$3:$BJ$10</c:f>
              <c:numCache>
                <c:formatCode>#,##0</c:formatCode>
                <c:ptCount val="8"/>
                <c:pt idx="0">
                  <c:v>85873</c:v>
                </c:pt>
                <c:pt idx="1">
                  <c:v>105352</c:v>
                </c:pt>
                <c:pt idx="2">
                  <c:v>1020171</c:v>
                </c:pt>
                <c:pt idx="3">
                  <c:v>333025</c:v>
                </c:pt>
                <c:pt idx="4">
                  <c:v>625188</c:v>
                </c:pt>
                <c:pt idx="5">
                  <c:v>49893</c:v>
                </c:pt>
                <c:pt idx="6">
                  <c:v>669003</c:v>
                </c:pt>
                <c:pt idx="7">
                  <c:v>217075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5-466E-AB0C-3A10D347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Contraste</a:t>
            </a:r>
            <a:r>
              <a:rPr lang="es-CL" baseline="0"/>
              <a:t> Indices Base 2021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'Contraste del indicador'!$A$3</c:f>
              <c:strCache>
                <c:ptCount val="1"/>
                <c:pt idx="0">
                  <c:v>UNESID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'Contraste del indicador'!$B$1:$BC$2</c:f>
              <c:multiLvlStrCache>
                <c:ptCount val="5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'Contraste del indicador'!$B$3:$BC$3</c:f>
              <c:numCache>
                <c:formatCode>0.0_ ;[Red]\-0.0\ </c:formatCode>
                <c:ptCount val="54"/>
                <c:pt idx="0">
                  <c:v>76.713743308813704</c:v>
                </c:pt>
                <c:pt idx="1">
                  <c:v>97.793113940488055</c:v>
                </c:pt>
                <c:pt idx="2">
                  <c:v>102.61454154929453</c:v>
                </c:pt>
                <c:pt idx="3">
                  <c:v>101.15941629675595</c:v>
                </c:pt>
                <c:pt idx="4">
                  <c:v>105.98803148398939</c:v>
                </c:pt>
                <c:pt idx="5">
                  <c:v>113.15368779674967</c:v>
                </c:pt>
                <c:pt idx="6">
                  <c:v>69.795339693940946</c:v>
                </c:pt>
                <c:pt idx="7">
                  <c:v>74.341842427916077</c:v>
                </c:pt>
                <c:pt idx="8">
                  <c:v>101.40954402601426</c:v>
                </c:pt>
                <c:pt idx="9">
                  <c:v>109.61883672636949</c:v>
                </c:pt>
                <c:pt idx="10">
                  <c:v>86.745805898246658</c:v>
                </c:pt>
                <c:pt idx="11">
                  <c:v>76.746087411735047</c:v>
                </c:pt>
                <c:pt idx="12">
                  <c:v>92.015738400895572</c:v>
                </c:pt>
                <c:pt idx="13">
                  <c:v>98.689404970330287</c:v>
                </c:pt>
                <c:pt idx="14">
                  <c:v>116.52286518438835</c:v>
                </c:pt>
                <c:pt idx="15">
                  <c:v>97.343171530960205</c:v>
                </c:pt>
                <c:pt idx="16">
                  <c:v>109.47760081027968</c:v>
                </c:pt>
                <c:pt idx="17">
                  <c:v>106.98674550641583</c:v>
                </c:pt>
                <c:pt idx="18">
                  <c:v>78.797422294790152</c:v>
                </c:pt>
                <c:pt idx="19">
                  <c:v>46.925543276110233</c:v>
                </c:pt>
                <c:pt idx="20">
                  <c:v>87.284155522426161</c:v>
                </c:pt>
                <c:pt idx="21">
                  <c:v>99.335568270914209</c:v>
                </c:pt>
                <c:pt idx="22">
                  <c:v>99.252192361161448</c:v>
                </c:pt>
                <c:pt idx="23">
                  <c:v>75.33013446162343</c:v>
                </c:pt>
                <c:pt idx="24">
                  <c:v>90.992945990738818</c:v>
                </c:pt>
                <c:pt idx="25">
                  <c:v>93.213188966827531</c:v>
                </c:pt>
                <c:pt idx="26">
                  <c:v>97.703987967993726</c:v>
                </c:pt>
                <c:pt idx="27">
                  <c:v>39.332585425867016</c:v>
                </c:pt>
                <c:pt idx="28">
                  <c:v>64.241497843426998</c:v>
                </c:pt>
                <c:pt idx="29">
                  <c:v>70.058045685446416</c:v>
                </c:pt>
                <c:pt idx="30">
                  <c:v>59.200489713676831</c:v>
                </c:pt>
                <c:pt idx="31">
                  <c:v>37.156905436025461</c:v>
                </c:pt>
                <c:pt idx="32">
                  <c:v>82.319695102923134</c:v>
                </c:pt>
                <c:pt idx="33">
                  <c:v>101.23201083886828</c:v>
                </c:pt>
                <c:pt idx="34">
                  <c:v>92.853810045479406</c:v>
                </c:pt>
                <c:pt idx="35">
                  <c:v>82.416008653844429</c:v>
                </c:pt>
                <c:pt idx="36">
                  <c:v>96.547865978016802</c:v>
                </c:pt>
                <c:pt idx="37">
                  <c:v>104.84736278763043</c:v>
                </c:pt>
                <c:pt idx="38">
                  <c:v>111.11349366025635</c:v>
                </c:pt>
                <c:pt idx="39">
                  <c:v>104.34818546587788</c:v>
                </c:pt>
                <c:pt idx="40">
                  <c:v>111.80673559953689</c:v>
                </c:pt>
                <c:pt idx="41">
                  <c:v>117.32428017899468</c:v>
                </c:pt>
                <c:pt idx="42">
                  <c:v>104.65689195931591</c:v>
                </c:pt>
                <c:pt idx="43">
                  <c:v>64.255513621359569</c:v>
                </c:pt>
                <c:pt idx="44">
                  <c:v>106.64892932034857</c:v>
                </c:pt>
                <c:pt idx="45">
                  <c:v>116.37300417418619</c:v>
                </c:pt>
                <c:pt idx="46">
                  <c:v>98.735046093341495</c:v>
                </c:pt>
                <c:pt idx="47">
                  <c:v>63.342691161135335</c:v>
                </c:pt>
                <c:pt idx="48">
                  <c:v>73.18140789088298</c:v>
                </c:pt>
                <c:pt idx="49">
                  <c:v>83.703663329034768</c:v>
                </c:pt>
                <c:pt idx="50">
                  <c:v>84.81522233276452</c:v>
                </c:pt>
                <c:pt idx="51">
                  <c:v>95.807186021118312</c:v>
                </c:pt>
                <c:pt idx="52">
                  <c:v>107.51431376295486</c:v>
                </c:pt>
                <c:pt idx="53">
                  <c:v>101.74484455963204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F-4732-90F5-11E9B25A34A7}"/>
            </c:ext>
          </c:extLst>
        </c:ser>
        <c:ser>
          <c:idx val="1"/>
          <c:order val="1"/>
          <c:tx>
            <c:strRef>
              <c:f>'Contraste del indicador'!$A$4</c:f>
              <c:strCache>
                <c:ptCount val="1"/>
                <c:pt idx="0">
                  <c:v>INE_IPI_BnInt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'Contraste del indicador'!$B$1:$BC$2</c:f>
              <c:multiLvlStrCache>
                <c:ptCount val="54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'Contraste del indicador'!$B$4:$BC$4</c:f>
              <c:numCache>
                <c:formatCode>General</c:formatCode>
                <c:ptCount val="54"/>
                <c:pt idx="0">
                  <c:v>105.48</c:v>
                </c:pt>
                <c:pt idx="1">
                  <c:v>103.83</c:v>
                </c:pt>
                <c:pt idx="2">
                  <c:v>106.44</c:v>
                </c:pt>
                <c:pt idx="3">
                  <c:v>103.13</c:v>
                </c:pt>
                <c:pt idx="4">
                  <c:v>116.31</c:v>
                </c:pt>
                <c:pt idx="5">
                  <c:v>111.88</c:v>
                </c:pt>
                <c:pt idx="6">
                  <c:v>107.98</c:v>
                </c:pt>
                <c:pt idx="7">
                  <c:v>68.39</c:v>
                </c:pt>
                <c:pt idx="8">
                  <c:v>102.47</c:v>
                </c:pt>
                <c:pt idx="9">
                  <c:v>112.39</c:v>
                </c:pt>
                <c:pt idx="10">
                  <c:v>105.2</c:v>
                </c:pt>
                <c:pt idx="11">
                  <c:v>77.709999999999994</c:v>
                </c:pt>
                <c:pt idx="12">
                  <c:v>105.79</c:v>
                </c:pt>
                <c:pt idx="13">
                  <c:v>101.04</c:v>
                </c:pt>
                <c:pt idx="14">
                  <c:v>107.2</c:v>
                </c:pt>
                <c:pt idx="15">
                  <c:v>98.64</c:v>
                </c:pt>
                <c:pt idx="16">
                  <c:v>114.32</c:v>
                </c:pt>
                <c:pt idx="17">
                  <c:v>103.71</c:v>
                </c:pt>
                <c:pt idx="18">
                  <c:v>105.05</c:v>
                </c:pt>
                <c:pt idx="19">
                  <c:v>65.09</c:v>
                </c:pt>
                <c:pt idx="20">
                  <c:v>104.46</c:v>
                </c:pt>
                <c:pt idx="21">
                  <c:v>111.84</c:v>
                </c:pt>
                <c:pt idx="22">
                  <c:v>102.3</c:v>
                </c:pt>
                <c:pt idx="23">
                  <c:v>81.44</c:v>
                </c:pt>
                <c:pt idx="24">
                  <c:v>98.75</c:v>
                </c:pt>
                <c:pt idx="25">
                  <c:v>105.35</c:v>
                </c:pt>
                <c:pt idx="26">
                  <c:v>90.47</c:v>
                </c:pt>
                <c:pt idx="27">
                  <c:v>53.77</c:v>
                </c:pt>
                <c:pt idx="28">
                  <c:v>71.739999999999995</c:v>
                </c:pt>
                <c:pt idx="29">
                  <c:v>86.57</c:v>
                </c:pt>
                <c:pt idx="30">
                  <c:v>97.29</c:v>
                </c:pt>
                <c:pt idx="31">
                  <c:v>59.97</c:v>
                </c:pt>
                <c:pt idx="32">
                  <c:v>103.51</c:v>
                </c:pt>
                <c:pt idx="33">
                  <c:v>106.3</c:v>
                </c:pt>
                <c:pt idx="34">
                  <c:v>106.16</c:v>
                </c:pt>
                <c:pt idx="35">
                  <c:v>84.14</c:v>
                </c:pt>
                <c:pt idx="36">
                  <c:v>95.91</c:v>
                </c:pt>
                <c:pt idx="37">
                  <c:v>102.94</c:v>
                </c:pt>
                <c:pt idx="38">
                  <c:v>114.67</c:v>
                </c:pt>
                <c:pt idx="39">
                  <c:v>100.27</c:v>
                </c:pt>
                <c:pt idx="40">
                  <c:v>111.12</c:v>
                </c:pt>
                <c:pt idx="41">
                  <c:v>109.8</c:v>
                </c:pt>
                <c:pt idx="42">
                  <c:v>107.27</c:v>
                </c:pt>
                <c:pt idx="43">
                  <c:v>68.06</c:v>
                </c:pt>
                <c:pt idx="44">
                  <c:v>104.4</c:v>
                </c:pt>
                <c:pt idx="45">
                  <c:v>100.46</c:v>
                </c:pt>
                <c:pt idx="46">
                  <c:v>105.24</c:v>
                </c:pt>
                <c:pt idx="47">
                  <c:v>79.87</c:v>
                </c:pt>
                <c:pt idx="48">
                  <c:v>96.53</c:v>
                </c:pt>
                <c:pt idx="49">
                  <c:v>105.01</c:v>
                </c:pt>
                <c:pt idx="50">
                  <c:v>111.98</c:v>
                </c:pt>
                <c:pt idx="51">
                  <c:v>94.26</c:v>
                </c:pt>
                <c:pt idx="52">
                  <c:v>115.12</c:v>
                </c:pt>
                <c:pt idx="53">
                  <c:v>109.26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8F-4732-90F5-11E9B25A34A7}"/>
            </c:ext>
          </c:extLst>
        </c:ser>
        <c:ser>
          <c:idx val="2"/>
          <c:order val="2"/>
          <c:tx>
            <c:strRef>
              <c:f>'Contraste del indicador'!$A$5</c:f>
              <c:strCache>
                <c:ptCount val="1"/>
                <c:pt idx="0">
                  <c:v>INE_IPI_Acero_Nac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'Contraste del indicador'!$B$5:$BC$5</c:f>
              <c:numCache>
                <c:formatCode>0.00</c:formatCode>
                <c:ptCount val="54"/>
                <c:pt idx="0">
                  <c:v>109.765</c:v>
                </c:pt>
                <c:pt idx="1">
                  <c:v>109.92100000000001</c:v>
                </c:pt>
                <c:pt idx="2">
                  <c:v>113.611</c:v>
                </c:pt>
                <c:pt idx="3">
                  <c:v>114.488</c:v>
                </c:pt>
                <c:pt idx="4">
                  <c:v>117.83</c:v>
                </c:pt>
                <c:pt idx="5">
                  <c:v>113.849</c:v>
                </c:pt>
                <c:pt idx="6">
                  <c:v>106.44799999999999</c:v>
                </c:pt>
                <c:pt idx="7">
                  <c:v>79.456999999999994</c:v>
                </c:pt>
                <c:pt idx="8">
                  <c:v>106.164</c:v>
                </c:pt>
                <c:pt idx="9">
                  <c:v>116.71899999999999</c:v>
                </c:pt>
                <c:pt idx="10">
                  <c:v>108.51</c:v>
                </c:pt>
                <c:pt idx="11">
                  <c:v>83.164000000000001</c:v>
                </c:pt>
                <c:pt idx="12">
                  <c:v>107.19499999999999</c:v>
                </c:pt>
                <c:pt idx="13">
                  <c:v>101.14400000000001</c:v>
                </c:pt>
                <c:pt idx="14">
                  <c:v>113.321</c:v>
                </c:pt>
                <c:pt idx="15">
                  <c:v>103.935</c:v>
                </c:pt>
                <c:pt idx="16">
                  <c:v>114.589</c:v>
                </c:pt>
                <c:pt idx="17">
                  <c:v>109.712</c:v>
                </c:pt>
                <c:pt idx="18">
                  <c:v>104.77200000000001</c:v>
                </c:pt>
                <c:pt idx="19">
                  <c:v>71.061000000000007</c:v>
                </c:pt>
                <c:pt idx="20">
                  <c:v>103.268</c:v>
                </c:pt>
                <c:pt idx="21">
                  <c:v>108.92</c:v>
                </c:pt>
                <c:pt idx="22">
                  <c:v>103.26</c:v>
                </c:pt>
                <c:pt idx="23">
                  <c:v>78.012</c:v>
                </c:pt>
                <c:pt idx="24">
                  <c:v>100.294</c:v>
                </c:pt>
                <c:pt idx="25">
                  <c:v>104.494</c:v>
                </c:pt>
                <c:pt idx="26">
                  <c:v>96.24</c:v>
                </c:pt>
                <c:pt idx="27">
                  <c:v>60.389000000000003</c:v>
                </c:pt>
                <c:pt idx="28">
                  <c:v>75.158000000000001</c:v>
                </c:pt>
                <c:pt idx="29">
                  <c:v>84.308999999999997</c:v>
                </c:pt>
                <c:pt idx="30">
                  <c:v>90.655000000000001</c:v>
                </c:pt>
                <c:pt idx="31">
                  <c:v>58.344999999999999</c:v>
                </c:pt>
                <c:pt idx="32">
                  <c:v>98.221999999999994</c:v>
                </c:pt>
                <c:pt idx="33">
                  <c:v>103.742</c:v>
                </c:pt>
                <c:pt idx="34">
                  <c:v>103.13200000000001</c:v>
                </c:pt>
                <c:pt idx="35">
                  <c:v>79.221000000000004</c:v>
                </c:pt>
                <c:pt idx="36">
                  <c:v>95.040999999999997</c:v>
                </c:pt>
                <c:pt idx="37">
                  <c:v>99.921999999999997</c:v>
                </c:pt>
                <c:pt idx="38">
                  <c:v>113.224</c:v>
                </c:pt>
                <c:pt idx="39">
                  <c:v>106.197</c:v>
                </c:pt>
                <c:pt idx="40">
                  <c:v>112.44499999999999</c:v>
                </c:pt>
                <c:pt idx="41">
                  <c:v>110.14400000000001</c:v>
                </c:pt>
                <c:pt idx="42">
                  <c:v>103.825</c:v>
                </c:pt>
                <c:pt idx="43">
                  <c:v>70.921000000000006</c:v>
                </c:pt>
                <c:pt idx="44">
                  <c:v>104.508</c:v>
                </c:pt>
                <c:pt idx="45">
                  <c:v>99.966999999999999</c:v>
                </c:pt>
                <c:pt idx="46">
                  <c:v>104.813</c:v>
                </c:pt>
                <c:pt idx="47">
                  <c:v>78.995999999999995</c:v>
                </c:pt>
                <c:pt idx="48">
                  <c:v>89.899000000000001</c:v>
                </c:pt>
                <c:pt idx="49">
                  <c:v>96.793999999999997</c:v>
                </c:pt>
                <c:pt idx="50">
                  <c:v>104.209</c:v>
                </c:pt>
                <c:pt idx="51">
                  <c:v>93.837000000000003</c:v>
                </c:pt>
                <c:pt idx="52">
                  <c:v>103.85599999999999</c:v>
                </c:pt>
                <c:pt idx="53">
                  <c:v>95.531999999999996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8F-4732-90F5-11E9B25A3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28255"/>
        <c:axId val="32129215"/>
      </c:lineChart>
      <c:catAx>
        <c:axId val="321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9215"/>
        <c:crosses val="autoZero"/>
        <c:auto val="1"/>
        <c:lblAlgn val="ctr"/>
        <c:lblOffset val="100"/>
        <c:noMultiLvlLbl val="0"/>
      </c:catAx>
      <c:valAx>
        <c:axId val="321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Contraste</a:t>
            </a:r>
            <a:r>
              <a:rPr lang="es-CL" baseline="0"/>
              <a:t> Variación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'Contraste del indicador'!$A$3</c:f>
              <c:strCache>
                <c:ptCount val="1"/>
                <c:pt idx="0">
                  <c:v>UNESID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'Contraste del indicador'!$N$1:$BC$2</c:f>
              <c:multiLvlStrCache>
                <c:ptCount val="4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'Contraste del indicador'!$N$6:$BC$6</c:f>
              <c:numCache>
                <c:formatCode>0.0_ ;[Red]\-0.0\ </c:formatCode>
                <c:ptCount val="42"/>
                <c:pt idx="0">
                  <c:v>19.94687579053884</c:v>
                </c:pt>
                <c:pt idx="1">
                  <c:v>0.91651752738712844</c:v>
                </c:pt>
                <c:pt idx="2">
                  <c:v>13.553949981263088</c:v>
                </c:pt>
                <c:pt idx="3">
                  <c:v>-3.772505719685654</c:v>
                </c:pt>
                <c:pt idx="4">
                  <c:v>3.2924182829241744</c:v>
                </c:pt>
                <c:pt idx="5">
                  <c:v>-5.4500585976579856</c:v>
                </c:pt>
                <c:pt idx="6">
                  <c:v>12.897827620474629</c:v>
                </c:pt>
                <c:pt idx="7">
                  <c:v>-36.878692074909836</c:v>
                </c:pt>
                <c:pt idx="8">
                  <c:v>-13.929052377914815</c:v>
                </c:pt>
                <c:pt idx="9">
                  <c:v>-9.3809319297233316</c:v>
                </c:pt>
                <c:pt idx="10">
                  <c:v>14.417280851116715</c:v>
                </c:pt>
                <c:pt idx="11">
                  <c:v>-1.8449838915111911</c:v>
                </c:pt>
                <c:pt idx="12">
                  <c:v>-1.111540729804986</c:v>
                </c:pt>
                <c:pt idx="13">
                  <c:v>-5.5489401371394536</c:v>
                </c:pt>
                <c:pt idx="14">
                  <c:v>-16.150372878846753</c:v>
                </c:pt>
                <c:pt idx="15">
                  <c:v>-59.593893637051671</c:v>
                </c:pt>
                <c:pt idx="16">
                  <c:v>-41.31996192101893</c:v>
                </c:pt>
                <c:pt idx="17">
                  <c:v>-34.517079331808304</c:v>
                </c:pt>
                <c:pt idx="18">
                  <c:v>-24.870017331022538</c:v>
                </c:pt>
                <c:pt idx="19">
                  <c:v>-20.817314319849288</c:v>
                </c:pt>
                <c:pt idx="20">
                  <c:v>-5.6876994338651627</c:v>
                </c:pt>
                <c:pt idx="21">
                  <c:v>1.9091274162563536</c:v>
                </c:pt>
                <c:pt idx="22">
                  <c:v>-6.4465904112217913</c:v>
                </c:pt>
                <c:pt idx="23">
                  <c:v>9.4064271129515475</c:v>
                </c:pt>
                <c:pt idx="24">
                  <c:v>6.1047809000967561</c:v>
                </c:pt>
                <c:pt idx="25">
                  <c:v>12.481252867492003</c:v>
                </c:pt>
                <c:pt idx="26">
                  <c:v>13.724624727350303</c:v>
                </c:pt>
                <c:pt idx="27">
                  <c:v>165.29704146337008</c:v>
                </c:pt>
                <c:pt idx="28">
                  <c:v>74.041296284900739</c:v>
                </c:pt>
                <c:pt idx="29">
                  <c:v>67.467246668239795</c:v>
                </c:pt>
                <c:pt idx="30">
                  <c:v>76.783828082316489</c:v>
                </c:pt>
                <c:pt idx="31">
                  <c:v>72.930207366140507</c:v>
                </c:pt>
                <c:pt idx="32">
                  <c:v>29.554572799385312</c:v>
                </c:pt>
                <c:pt idx="33">
                  <c:v>14.956724863855513</c:v>
                </c:pt>
                <c:pt idx="34">
                  <c:v>6.3338661547452659</c:v>
                </c:pt>
                <c:pt idx="35">
                  <c:v>-23.142733801656121</c:v>
                </c:pt>
                <c:pt idx="36">
                  <c:v>-24.201941545196021</c:v>
                </c:pt>
                <c:pt idx="37">
                  <c:v>-20.166171944088347</c:v>
                </c:pt>
                <c:pt idx="38">
                  <c:v>-23.667936684541786</c:v>
                </c:pt>
                <c:pt idx="39">
                  <c:v>-8.1850962780301444</c:v>
                </c:pt>
                <c:pt idx="40">
                  <c:v>-3.839144228265809</c:v>
                </c:pt>
                <c:pt idx="41">
                  <c:v>-13.278952656341914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A-4D72-BCE8-EA49C83513DF}"/>
            </c:ext>
          </c:extLst>
        </c:ser>
        <c:ser>
          <c:idx val="1"/>
          <c:order val="1"/>
          <c:tx>
            <c:strRef>
              <c:f>'Contraste del indicador'!$A$4</c:f>
              <c:strCache>
                <c:ptCount val="1"/>
                <c:pt idx="0">
                  <c:v>INE_IPI_BnInt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'Contraste del indicador'!$N$1:$BC$2</c:f>
              <c:multiLvlStrCache>
                <c:ptCount val="4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'Contraste del indicador'!$N$7:$BC$7</c:f>
              <c:numCache>
                <c:formatCode>0.0_ ;[Red]\-0.0\ </c:formatCode>
                <c:ptCount val="42"/>
                <c:pt idx="0">
                  <c:v>0.29389457717104506</c:v>
                </c:pt>
                <c:pt idx="1">
                  <c:v>-2.6870846576133971</c:v>
                </c:pt>
                <c:pt idx="2">
                  <c:v>0.7140172867343324</c:v>
                </c:pt>
                <c:pt idx="3">
                  <c:v>-4.3537283040822103</c:v>
                </c:pt>
                <c:pt idx="4">
                  <c:v>-1.7109448886596255</c:v>
                </c:pt>
                <c:pt idx="5">
                  <c:v>-7.3024669288523398</c:v>
                </c:pt>
                <c:pt idx="6">
                  <c:v>-2.713465456566027</c:v>
                </c:pt>
                <c:pt idx="7">
                  <c:v>-4.8252668518789221</c:v>
                </c:pt>
                <c:pt idx="8">
                  <c:v>1.9420318141895052</c:v>
                </c:pt>
                <c:pt idx="9">
                  <c:v>-0.4893673814396351</c:v>
                </c:pt>
                <c:pt idx="10">
                  <c:v>-2.7566539923954423</c:v>
                </c:pt>
                <c:pt idx="11">
                  <c:v>4.7998970531463243</c:v>
                </c:pt>
                <c:pt idx="12">
                  <c:v>-6.6546932602325484</c:v>
                </c:pt>
                <c:pt idx="13">
                  <c:v>4.2656373713380731</c:v>
                </c:pt>
                <c:pt idx="14">
                  <c:v>-15.606343283582092</c:v>
                </c:pt>
                <c:pt idx="15">
                  <c:v>-45.488645579886452</c:v>
                </c:pt>
                <c:pt idx="16">
                  <c:v>-37.246326102169348</c:v>
                </c:pt>
                <c:pt idx="17">
                  <c:v>-16.526853726738025</c:v>
                </c:pt>
                <c:pt idx="18">
                  <c:v>-7.3869585911470637</c:v>
                </c:pt>
                <c:pt idx="19">
                  <c:v>-7.866031648486711</c:v>
                </c:pt>
                <c:pt idx="20">
                  <c:v>-0.90943901972046604</c:v>
                </c:pt>
                <c:pt idx="21">
                  <c:v>-4.9535050071530833</c:v>
                </c:pt>
                <c:pt idx="22">
                  <c:v>3.7732160312805547</c:v>
                </c:pt>
                <c:pt idx="23">
                  <c:v>3.315324165029466</c:v>
                </c:pt>
                <c:pt idx="24">
                  <c:v>-2.8759493670886087</c:v>
                </c:pt>
                <c:pt idx="25">
                  <c:v>-2.2876127195063987</c:v>
                </c:pt>
                <c:pt idx="26">
                  <c:v>26.749198629379904</c:v>
                </c:pt>
                <c:pt idx="27">
                  <c:v>86.479449507160098</c:v>
                </c:pt>
                <c:pt idx="28">
                  <c:v>54.892667967661026</c:v>
                </c:pt>
                <c:pt idx="29">
                  <c:v>26.833776134919731</c:v>
                </c:pt>
                <c:pt idx="30">
                  <c:v>10.257991571590082</c:v>
                </c:pt>
                <c:pt idx="31">
                  <c:v>13.490078372519605</c:v>
                </c:pt>
                <c:pt idx="32">
                  <c:v>0.85982030721669389</c:v>
                </c:pt>
                <c:pt idx="33">
                  <c:v>-5.4938852304797763</c:v>
                </c:pt>
                <c:pt idx="34">
                  <c:v>-0.86661642803316852</c:v>
                </c:pt>
                <c:pt idx="35">
                  <c:v>-5.074875207986679</c:v>
                </c:pt>
                <c:pt idx="36">
                  <c:v>0.64643937024293052</c:v>
                </c:pt>
                <c:pt idx="37">
                  <c:v>2.0108801243442969</c:v>
                </c:pt>
                <c:pt idx="38">
                  <c:v>-2.3458620388942251</c:v>
                </c:pt>
                <c:pt idx="39">
                  <c:v>-5.9938166949236944</c:v>
                </c:pt>
                <c:pt idx="40">
                  <c:v>3.5997120230381512</c:v>
                </c:pt>
                <c:pt idx="41">
                  <c:v>-0.49180327868852203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A-4D72-BCE8-EA49C83513DF}"/>
            </c:ext>
          </c:extLst>
        </c:ser>
        <c:ser>
          <c:idx val="2"/>
          <c:order val="2"/>
          <c:tx>
            <c:strRef>
              <c:f>'Contraste del indicador'!$A$5</c:f>
              <c:strCache>
                <c:ptCount val="1"/>
                <c:pt idx="0">
                  <c:v>INE_IPI_Acero_Nac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'Contraste del indicador'!$N$8:$BC$8</c:f>
              <c:numCache>
                <c:formatCode>0.0_ ;[Red]\-0.0\ </c:formatCode>
                <c:ptCount val="42"/>
                <c:pt idx="0">
                  <c:v>-2.3413656447865918</c:v>
                </c:pt>
                <c:pt idx="1">
                  <c:v>-7.9848254655616273</c:v>
                </c:pt>
                <c:pt idx="2">
                  <c:v>-0.25525697335645248</c:v>
                </c:pt>
                <c:pt idx="3">
                  <c:v>-9.2175599189434649</c:v>
                </c:pt>
                <c:pt idx="4">
                  <c:v>-2.7505728592039418</c:v>
                </c:pt>
                <c:pt idx="5">
                  <c:v>-3.6337605073386641</c:v>
                </c:pt>
                <c:pt idx="6">
                  <c:v>-1.5744776792424346</c:v>
                </c:pt>
                <c:pt idx="7">
                  <c:v>-10.566721623016207</c:v>
                </c:pt>
                <c:pt idx="8">
                  <c:v>-2.7278550167665117</c:v>
                </c:pt>
                <c:pt idx="9">
                  <c:v>-6.6818598514380625</c:v>
                </c:pt>
                <c:pt idx="10">
                  <c:v>-4.8382637544926723</c:v>
                </c:pt>
                <c:pt idx="11">
                  <c:v>-6.1949882160550231</c:v>
                </c:pt>
                <c:pt idx="12">
                  <c:v>-6.4378002705349928</c:v>
                </c:pt>
                <c:pt idx="13">
                  <c:v>3.3121094676896234</c:v>
                </c:pt>
                <c:pt idx="14">
                  <c:v>-15.073110897362369</c:v>
                </c:pt>
                <c:pt idx="15">
                  <c:v>-41.897339683456003</c:v>
                </c:pt>
                <c:pt idx="16">
                  <c:v>-34.410807320074355</c:v>
                </c:pt>
                <c:pt idx="17">
                  <c:v>-23.154258422050461</c:v>
                </c:pt>
                <c:pt idx="18">
                  <c:v>-13.474019776276108</c:v>
                </c:pt>
                <c:pt idx="19">
                  <c:v>-17.89448501991248</c:v>
                </c:pt>
                <c:pt idx="20">
                  <c:v>-4.8863152186543743</c:v>
                </c:pt>
                <c:pt idx="21">
                  <c:v>-4.7539478516342228</c:v>
                </c:pt>
                <c:pt idx="22">
                  <c:v>-0.12395893860158935</c:v>
                </c:pt>
                <c:pt idx="23">
                  <c:v>1.5497615751422842</c:v>
                </c:pt>
                <c:pt idx="24">
                  <c:v>-5.2376014517319049</c:v>
                </c:pt>
                <c:pt idx="25">
                  <c:v>-4.3753708346890789</c:v>
                </c:pt>
                <c:pt idx="26">
                  <c:v>17.647547797173743</c:v>
                </c:pt>
                <c:pt idx="27">
                  <c:v>75.854874232062116</c:v>
                </c:pt>
                <c:pt idx="28">
                  <c:v>49.611485137975961</c:v>
                </c:pt>
                <c:pt idx="29">
                  <c:v>30.643229074001624</c:v>
                </c:pt>
                <c:pt idx="30">
                  <c:v>14.527604655010748</c:v>
                </c:pt>
                <c:pt idx="31">
                  <c:v>21.554546233610438</c:v>
                </c:pt>
                <c:pt idx="32">
                  <c:v>6.3997882348150199</c:v>
                </c:pt>
                <c:pt idx="33">
                  <c:v>-3.6388348017196535</c:v>
                </c:pt>
                <c:pt idx="34">
                  <c:v>1.6299499670325446</c:v>
                </c:pt>
                <c:pt idx="35">
                  <c:v>-0.28401560192375541</c:v>
                </c:pt>
                <c:pt idx="36">
                  <c:v>-5.4102966088319704</c:v>
                </c:pt>
                <c:pt idx="37">
                  <c:v>-3.1304417445607555</c:v>
                </c:pt>
                <c:pt idx="38">
                  <c:v>-7.9620928425068911</c:v>
                </c:pt>
                <c:pt idx="39">
                  <c:v>-11.638746857255853</c:v>
                </c:pt>
                <c:pt idx="40">
                  <c:v>-7.6384009960425061</c:v>
                </c:pt>
                <c:pt idx="41">
                  <c:v>-13.266269610691467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A-4D72-BCE8-EA49C8351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28255"/>
        <c:axId val="32129215"/>
      </c:lineChart>
      <c:catAx>
        <c:axId val="321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9215"/>
        <c:crosses val="autoZero"/>
        <c:auto val="1"/>
        <c:lblAlgn val="ctr"/>
        <c:lblOffset val="100"/>
        <c:noMultiLvlLbl val="0"/>
      </c:catAx>
      <c:valAx>
        <c:axId val="321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UNESID vs INE_IPI_BnInt</a:t>
            </a:r>
          </a:p>
        </c:rich>
      </c:tx>
      <c:layout>
        <c:manualLayout>
          <c:xMode val="edge"/>
          <c:yMode val="edge"/>
          <c:x val="0.356902668416447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'Contraste del indicador'!$N$6:$BC$6</c:f>
              <c:numCache>
                <c:formatCode>0.0_ ;[Red]\-0.0\ </c:formatCode>
                <c:ptCount val="42"/>
                <c:pt idx="0">
                  <c:v>19.94687579053884</c:v>
                </c:pt>
                <c:pt idx="1">
                  <c:v>0.91651752738712844</c:v>
                </c:pt>
                <c:pt idx="2">
                  <c:v>13.553949981263088</c:v>
                </c:pt>
                <c:pt idx="3">
                  <c:v>-3.772505719685654</c:v>
                </c:pt>
                <c:pt idx="4">
                  <c:v>3.2924182829241744</c:v>
                </c:pt>
                <c:pt idx="5">
                  <c:v>-5.4500585976579856</c:v>
                </c:pt>
                <c:pt idx="6">
                  <c:v>12.897827620474629</c:v>
                </c:pt>
                <c:pt idx="7">
                  <c:v>-36.878692074909836</c:v>
                </c:pt>
                <c:pt idx="8">
                  <c:v>-13.929052377914815</c:v>
                </c:pt>
                <c:pt idx="9">
                  <c:v>-9.3809319297233316</c:v>
                </c:pt>
                <c:pt idx="10">
                  <c:v>14.417280851116715</c:v>
                </c:pt>
                <c:pt idx="11">
                  <c:v>-1.8449838915111911</c:v>
                </c:pt>
                <c:pt idx="12">
                  <c:v>-1.111540729804986</c:v>
                </c:pt>
                <c:pt idx="13">
                  <c:v>-5.5489401371394536</c:v>
                </c:pt>
                <c:pt idx="14">
                  <c:v>-16.150372878846753</c:v>
                </c:pt>
                <c:pt idx="15">
                  <c:v>-59.593893637051671</c:v>
                </c:pt>
                <c:pt idx="16">
                  <c:v>-41.31996192101893</c:v>
                </c:pt>
                <c:pt idx="17">
                  <c:v>-34.517079331808304</c:v>
                </c:pt>
                <c:pt idx="18">
                  <c:v>-24.870017331022538</c:v>
                </c:pt>
                <c:pt idx="19">
                  <c:v>-20.817314319849288</c:v>
                </c:pt>
                <c:pt idx="20">
                  <c:v>-5.6876994338651627</c:v>
                </c:pt>
                <c:pt idx="21">
                  <c:v>1.9091274162563536</c:v>
                </c:pt>
                <c:pt idx="22">
                  <c:v>-6.4465904112217913</c:v>
                </c:pt>
                <c:pt idx="23">
                  <c:v>9.4064271129515475</c:v>
                </c:pt>
                <c:pt idx="24">
                  <c:v>6.1047809000967561</c:v>
                </c:pt>
                <c:pt idx="25">
                  <c:v>12.481252867492003</c:v>
                </c:pt>
                <c:pt idx="26">
                  <c:v>13.724624727350303</c:v>
                </c:pt>
                <c:pt idx="27">
                  <c:v>165.29704146337008</c:v>
                </c:pt>
                <c:pt idx="28">
                  <c:v>74.041296284900739</c:v>
                </c:pt>
                <c:pt idx="29">
                  <c:v>67.467246668239795</c:v>
                </c:pt>
                <c:pt idx="30">
                  <c:v>76.783828082316489</c:v>
                </c:pt>
                <c:pt idx="31">
                  <c:v>72.930207366140507</c:v>
                </c:pt>
                <c:pt idx="32">
                  <c:v>29.554572799385312</c:v>
                </c:pt>
                <c:pt idx="33">
                  <c:v>14.956724863855513</c:v>
                </c:pt>
                <c:pt idx="34">
                  <c:v>6.3338661547452659</c:v>
                </c:pt>
                <c:pt idx="35">
                  <c:v>-23.142733801656121</c:v>
                </c:pt>
                <c:pt idx="36">
                  <c:v>-24.201941545196021</c:v>
                </c:pt>
                <c:pt idx="37">
                  <c:v>-20.166171944088347</c:v>
                </c:pt>
                <c:pt idx="38">
                  <c:v>-23.667936684541786</c:v>
                </c:pt>
                <c:pt idx="39">
                  <c:v>-8.1850962780301444</c:v>
                </c:pt>
                <c:pt idx="40">
                  <c:v>-3.839144228265809</c:v>
                </c:pt>
                <c:pt idx="41">
                  <c:v>-13.278952656341914</c:v>
                </c:pt>
              </c:numCache>
            </c:numRef>
          </c:xVal>
          <c:yVal>
            <c:numRef>
              <c:f>'Contraste del indicador'!$N$7:$BC$7</c:f>
              <c:numCache>
                <c:formatCode>0.0_ ;[Red]\-0.0\ </c:formatCode>
                <c:ptCount val="42"/>
                <c:pt idx="0">
                  <c:v>0.29389457717104506</c:v>
                </c:pt>
                <c:pt idx="1">
                  <c:v>-2.6870846576133971</c:v>
                </c:pt>
                <c:pt idx="2">
                  <c:v>0.7140172867343324</c:v>
                </c:pt>
                <c:pt idx="3">
                  <c:v>-4.3537283040822103</c:v>
                </c:pt>
                <c:pt idx="4">
                  <c:v>-1.7109448886596255</c:v>
                </c:pt>
                <c:pt idx="5">
                  <c:v>-7.3024669288523398</c:v>
                </c:pt>
                <c:pt idx="6">
                  <c:v>-2.713465456566027</c:v>
                </c:pt>
                <c:pt idx="7">
                  <c:v>-4.8252668518789221</c:v>
                </c:pt>
                <c:pt idx="8">
                  <c:v>1.9420318141895052</c:v>
                </c:pt>
                <c:pt idx="9">
                  <c:v>-0.4893673814396351</c:v>
                </c:pt>
                <c:pt idx="10">
                  <c:v>-2.7566539923954423</c:v>
                </c:pt>
                <c:pt idx="11">
                  <c:v>4.7998970531463243</c:v>
                </c:pt>
                <c:pt idx="12">
                  <c:v>-6.6546932602325484</c:v>
                </c:pt>
                <c:pt idx="13">
                  <c:v>4.2656373713380731</c:v>
                </c:pt>
                <c:pt idx="14">
                  <c:v>-15.606343283582092</c:v>
                </c:pt>
                <c:pt idx="15">
                  <c:v>-45.488645579886452</c:v>
                </c:pt>
                <c:pt idx="16">
                  <c:v>-37.246326102169348</c:v>
                </c:pt>
                <c:pt idx="17">
                  <c:v>-16.526853726738025</c:v>
                </c:pt>
                <c:pt idx="18">
                  <c:v>-7.3869585911470637</c:v>
                </c:pt>
                <c:pt idx="19">
                  <c:v>-7.866031648486711</c:v>
                </c:pt>
                <c:pt idx="20">
                  <c:v>-0.90943901972046604</c:v>
                </c:pt>
                <c:pt idx="21">
                  <c:v>-4.9535050071530833</c:v>
                </c:pt>
                <c:pt idx="22">
                  <c:v>3.7732160312805547</c:v>
                </c:pt>
                <c:pt idx="23">
                  <c:v>3.315324165029466</c:v>
                </c:pt>
                <c:pt idx="24">
                  <c:v>-2.8759493670886087</c:v>
                </c:pt>
                <c:pt idx="25">
                  <c:v>-2.2876127195063987</c:v>
                </c:pt>
                <c:pt idx="26">
                  <c:v>26.749198629379904</c:v>
                </c:pt>
                <c:pt idx="27">
                  <c:v>86.479449507160098</c:v>
                </c:pt>
                <c:pt idx="28">
                  <c:v>54.892667967661026</c:v>
                </c:pt>
                <c:pt idx="29">
                  <c:v>26.833776134919731</c:v>
                </c:pt>
                <c:pt idx="30">
                  <c:v>10.257991571590082</c:v>
                </c:pt>
                <c:pt idx="31">
                  <c:v>13.490078372519605</c:v>
                </c:pt>
                <c:pt idx="32">
                  <c:v>0.85982030721669389</c:v>
                </c:pt>
                <c:pt idx="33">
                  <c:v>-5.4938852304797763</c:v>
                </c:pt>
                <c:pt idx="34">
                  <c:v>-0.86661642803316852</c:v>
                </c:pt>
                <c:pt idx="35">
                  <c:v>-5.074875207986679</c:v>
                </c:pt>
                <c:pt idx="36">
                  <c:v>0.64643937024293052</c:v>
                </c:pt>
                <c:pt idx="37">
                  <c:v>2.0108801243442969</c:v>
                </c:pt>
                <c:pt idx="38">
                  <c:v>-2.3458620388942251</c:v>
                </c:pt>
                <c:pt idx="39">
                  <c:v>-5.9938166949236944</c:v>
                </c:pt>
                <c:pt idx="40">
                  <c:v>3.5997120230381512</c:v>
                </c:pt>
                <c:pt idx="41">
                  <c:v>-0.49180327868852203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6-49A7-8813-3FB02C0F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2975"/>
        <c:axId val="32110015"/>
      </c:scatterChart>
      <c:valAx>
        <c:axId val="321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10015"/>
        <c:crosses val="autoZero"/>
        <c:crossBetween val="midCat"/>
      </c:valAx>
      <c:valAx>
        <c:axId val="321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UNESID vs INE_IPI_Acero_Nac</a:t>
            </a:r>
          </a:p>
        </c:rich>
      </c:tx>
      <c:layout>
        <c:manualLayout>
          <c:xMode val="edge"/>
          <c:yMode val="edge"/>
          <c:x val="0.356902668416447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'Contraste del indicador'!$N$6:$BC$6</c:f>
              <c:numCache>
                <c:formatCode>0.0_ ;[Red]\-0.0\ </c:formatCode>
                <c:ptCount val="42"/>
                <c:pt idx="0">
                  <c:v>19.94687579053884</c:v>
                </c:pt>
                <c:pt idx="1">
                  <c:v>0.91651752738712844</c:v>
                </c:pt>
                <c:pt idx="2">
                  <c:v>13.553949981263088</c:v>
                </c:pt>
                <c:pt idx="3">
                  <c:v>-3.772505719685654</c:v>
                </c:pt>
                <c:pt idx="4">
                  <c:v>3.2924182829241744</c:v>
                </c:pt>
                <c:pt idx="5">
                  <c:v>-5.4500585976579856</c:v>
                </c:pt>
                <c:pt idx="6">
                  <c:v>12.897827620474629</c:v>
                </c:pt>
                <c:pt idx="7">
                  <c:v>-36.878692074909836</c:v>
                </c:pt>
                <c:pt idx="8">
                  <c:v>-13.929052377914815</c:v>
                </c:pt>
                <c:pt idx="9">
                  <c:v>-9.3809319297233316</c:v>
                </c:pt>
                <c:pt idx="10">
                  <c:v>14.417280851116715</c:v>
                </c:pt>
                <c:pt idx="11">
                  <c:v>-1.8449838915111911</c:v>
                </c:pt>
                <c:pt idx="12">
                  <c:v>-1.111540729804986</c:v>
                </c:pt>
                <c:pt idx="13">
                  <c:v>-5.5489401371394536</c:v>
                </c:pt>
                <c:pt idx="14">
                  <c:v>-16.150372878846753</c:v>
                </c:pt>
                <c:pt idx="15">
                  <c:v>-59.593893637051671</c:v>
                </c:pt>
                <c:pt idx="16">
                  <c:v>-41.31996192101893</c:v>
                </c:pt>
                <c:pt idx="17">
                  <c:v>-34.517079331808304</c:v>
                </c:pt>
                <c:pt idx="18">
                  <c:v>-24.870017331022538</c:v>
                </c:pt>
                <c:pt idx="19">
                  <c:v>-20.817314319849288</c:v>
                </c:pt>
                <c:pt idx="20">
                  <c:v>-5.6876994338651627</c:v>
                </c:pt>
                <c:pt idx="21">
                  <c:v>1.9091274162563536</c:v>
                </c:pt>
                <c:pt idx="22">
                  <c:v>-6.4465904112217913</c:v>
                </c:pt>
                <c:pt idx="23">
                  <c:v>9.4064271129515475</c:v>
                </c:pt>
                <c:pt idx="24">
                  <c:v>6.1047809000967561</c:v>
                </c:pt>
                <c:pt idx="25">
                  <c:v>12.481252867492003</c:v>
                </c:pt>
                <c:pt idx="26">
                  <c:v>13.724624727350303</c:v>
                </c:pt>
                <c:pt idx="27">
                  <c:v>165.29704146337008</c:v>
                </c:pt>
                <c:pt idx="28">
                  <c:v>74.041296284900739</c:v>
                </c:pt>
                <c:pt idx="29">
                  <c:v>67.467246668239795</c:v>
                </c:pt>
                <c:pt idx="30">
                  <c:v>76.783828082316489</c:v>
                </c:pt>
                <c:pt idx="31">
                  <c:v>72.930207366140507</c:v>
                </c:pt>
                <c:pt idx="32">
                  <c:v>29.554572799385312</c:v>
                </c:pt>
                <c:pt idx="33">
                  <c:v>14.956724863855513</c:v>
                </c:pt>
                <c:pt idx="34">
                  <c:v>6.3338661547452659</c:v>
                </c:pt>
                <c:pt idx="35">
                  <c:v>-23.142733801656121</c:v>
                </c:pt>
                <c:pt idx="36">
                  <c:v>-24.201941545196021</c:v>
                </c:pt>
                <c:pt idx="37">
                  <c:v>-20.166171944088347</c:v>
                </c:pt>
                <c:pt idx="38">
                  <c:v>-23.667936684541786</c:v>
                </c:pt>
                <c:pt idx="39">
                  <c:v>-8.1850962780301444</c:v>
                </c:pt>
                <c:pt idx="40">
                  <c:v>-3.839144228265809</c:v>
                </c:pt>
                <c:pt idx="41">
                  <c:v>-13.278952656341914</c:v>
                </c:pt>
              </c:numCache>
            </c:numRef>
          </c:xVal>
          <c:yVal>
            <c:numRef>
              <c:f>'Contraste del indicador'!$N$8:$BC$8</c:f>
              <c:numCache>
                <c:formatCode>0.0_ ;[Red]\-0.0\ </c:formatCode>
                <c:ptCount val="42"/>
                <c:pt idx="0">
                  <c:v>-2.3413656447865918</c:v>
                </c:pt>
                <c:pt idx="1">
                  <c:v>-7.9848254655616273</c:v>
                </c:pt>
                <c:pt idx="2">
                  <c:v>-0.25525697335645248</c:v>
                </c:pt>
                <c:pt idx="3">
                  <c:v>-9.2175599189434649</c:v>
                </c:pt>
                <c:pt idx="4">
                  <c:v>-2.7505728592039418</c:v>
                </c:pt>
                <c:pt idx="5">
                  <c:v>-3.6337605073386641</c:v>
                </c:pt>
                <c:pt idx="6">
                  <c:v>-1.5744776792424346</c:v>
                </c:pt>
                <c:pt idx="7">
                  <c:v>-10.566721623016207</c:v>
                </c:pt>
                <c:pt idx="8">
                  <c:v>-2.7278550167665117</c:v>
                </c:pt>
                <c:pt idx="9">
                  <c:v>-6.6818598514380625</c:v>
                </c:pt>
                <c:pt idx="10">
                  <c:v>-4.8382637544926723</c:v>
                </c:pt>
                <c:pt idx="11">
                  <c:v>-6.1949882160550231</c:v>
                </c:pt>
                <c:pt idx="12">
                  <c:v>-6.4378002705349928</c:v>
                </c:pt>
                <c:pt idx="13">
                  <c:v>3.3121094676896234</c:v>
                </c:pt>
                <c:pt idx="14">
                  <c:v>-15.073110897362369</c:v>
                </c:pt>
                <c:pt idx="15">
                  <c:v>-41.897339683456003</c:v>
                </c:pt>
                <c:pt idx="16">
                  <c:v>-34.410807320074355</c:v>
                </c:pt>
                <c:pt idx="17">
                  <c:v>-23.154258422050461</c:v>
                </c:pt>
                <c:pt idx="18">
                  <c:v>-13.474019776276108</c:v>
                </c:pt>
                <c:pt idx="19">
                  <c:v>-17.89448501991248</c:v>
                </c:pt>
                <c:pt idx="20">
                  <c:v>-4.8863152186543743</c:v>
                </c:pt>
                <c:pt idx="21">
                  <c:v>-4.7539478516342228</c:v>
                </c:pt>
                <c:pt idx="22">
                  <c:v>-0.12395893860158935</c:v>
                </c:pt>
                <c:pt idx="23">
                  <c:v>1.5497615751422842</c:v>
                </c:pt>
                <c:pt idx="24">
                  <c:v>-5.2376014517319049</c:v>
                </c:pt>
                <c:pt idx="25">
                  <c:v>-4.3753708346890789</c:v>
                </c:pt>
                <c:pt idx="26">
                  <c:v>17.647547797173743</c:v>
                </c:pt>
                <c:pt idx="27">
                  <c:v>75.854874232062116</c:v>
                </c:pt>
                <c:pt idx="28">
                  <c:v>49.611485137975961</c:v>
                </c:pt>
                <c:pt idx="29">
                  <c:v>30.643229074001624</c:v>
                </c:pt>
                <c:pt idx="30">
                  <c:v>14.527604655010748</c:v>
                </c:pt>
                <c:pt idx="31">
                  <c:v>21.554546233610438</c:v>
                </c:pt>
                <c:pt idx="32">
                  <c:v>6.3997882348150199</c:v>
                </c:pt>
                <c:pt idx="33">
                  <c:v>-3.6388348017196535</c:v>
                </c:pt>
                <c:pt idx="34">
                  <c:v>1.6299499670325446</c:v>
                </c:pt>
                <c:pt idx="35">
                  <c:v>-0.28401560192375541</c:v>
                </c:pt>
                <c:pt idx="36">
                  <c:v>-5.4102966088319704</c:v>
                </c:pt>
                <c:pt idx="37">
                  <c:v>-3.1304417445607555</c:v>
                </c:pt>
                <c:pt idx="38">
                  <c:v>-7.9620928425068911</c:v>
                </c:pt>
                <c:pt idx="39">
                  <c:v>-11.638746857255853</c:v>
                </c:pt>
                <c:pt idx="40">
                  <c:v>-7.6384009960425061</c:v>
                </c:pt>
                <c:pt idx="41">
                  <c:v>-13.266269610691467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4C-4FA2-82C0-44263C2C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2975"/>
        <c:axId val="32110015"/>
      </c:scatterChart>
      <c:valAx>
        <c:axId val="321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10015"/>
        <c:crosses val="autoZero"/>
        <c:crossBetween val="midCat"/>
      </c:valAx>
      <c:valAx>
        <c:axId val="321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21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bd_1825!$S$1</c:f>
              <c:strCache>
                <c:ptCount val="1"/>
                <c:pt idx="0">
                  <c:v>std_LST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bd_1825!$B$2:$C$50</c:f>
              <c:multiLvlStrCache>
                <c:ptCount val="49"/>
                <c:lvl>
                  <c:pt idx="0">
                    <c:v>6</c:v>
                  </c:pt>
                  <c:pt idx="1">
                    <c:v>7</c:v>
                  </c:pt>
                  <c:pt idx="2">
                    <c:v>8</c:v>
                  </c:pt>
                  <c:pt idx="3">
                    <c:v>9</c:v>
                  </c:pt>
                  <c:pt idx="4">
                    <c:v>10</c:v>
                  </c:pt>
                  <c:pt idx="5">
                    <c:v>11</c:v>
                  </c:pt>
                  <c:pt idx="6">
                    <c:v>12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10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3">
                    <c:v>5</c:v>
                  </c:pt>
                  <c:pt idx="24">
                    <c:v>6</c:v>
                  </c:pt>
                  <c:pt idx="25">
                    <c:v>7</c:v>
                  </c:pt>
                  <c:pt idx="26">
                    <c:v>8</c:v>
                  </c:pt>
                  <c:pt idx="27">
                    <c:v>9</c:v>
                  </c:pt>
                  <c:pt idx="28">
                    <c:v>10</c:v>
                  </c:pt>
                  <c:pt idx="29">
                    <c:v>11</c:v>
                  </c:pt>
                  <c:pt idx="30">
                    <c:v>12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5">
                    <c:v>5</c:v>
                  </c:pt>
                  <c:pt idx="36">
                    <c:v>6</c:v>
                  </c:pt>
                  <c:pt idx="37">
                    <c:v>7</c:v>
                  </c:pt>
                  <c:pt idx="38">
                    <c:v>8</c:v>
                  </c:pt>
                  <c:pt idx="39">
                    <c:v>9</c:v>
                  </c:pt>
                  <c:pt idx="40">
                    <c:v>10</c:v>
                  </c:pt>
                  <c:pt idx="41">
                    <c:v>11</c:v>
                  </c:pt>
                  <c:pt idx="42">
                    <c:v>12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48">
                    <c:v>6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  <c:pt idx="27">
                    <c:v>2020</c:v>
                  </c:pt>
                  <c:pt idx="28">
                    <c:v>2020</c:v>
                  </c:pt>
                  <c:pt idx="29">
                    <c:v>2020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bd_1825!$M$2:$M$50</c:f>
              <c:numCache>
                <c:formatCode>_ * #,##0.0_ ;_ * \-#,##0.0_ ;_ * "-"_ ;_ @_ </c:formatCode>
                <c:ptCount val="49"/>
                <c:pt idx="0">
                  <c:v>-0.17081028713189919</c:v>
                </c:pt>
                <c:pt idx="1">
                  <c:v>0.30072233649981611</c:v>
                </c:pt>
                <c:pt idx="2">
                  <c:v>-0.28869344303982764</c:v>
                </c:pt>
                <c:pt idx="3">
                  <c:v>1.1259044278553167</c:v>
                </c:pt>
                <c:pt idx="4">
                  <c:v>1.4795538955791037</c:v>
                </c:pt>
                <c:pt idx="5">
                  <c:v>0.1828391805918877</c:v>
                </c:pt>
                <c:pt idx="6">
                  <c:v>6.4956024683959251E-2</c:v>
                </c:pt>
                <c:pt idx="7">
                  <c:v>-3.0000060289221895</c:v>
                </c:pt>
                <c:pt idx="8">
                  <c:v>1.8332033633028904</c:v>
                </c:pt>
                <c:pt idx="9">
                  <c:v>6.4956024683959251E-2</c:v>
                </c:pt>
                <c:pt idx="10">
                  <c:v>0.65437180422360297</c:v>
                </c:pt>
                <c:pt idx="11">
                  <c:v>1.1259044278553167</c:v>
                </c:pt>
                <c:pt idx="12">
                  <c:v>1.0080212719473882</c:v>
                </c:pt>
                <c:pt idx="13">
                  <c:v>0.536488648315673</c:v>
                </c:pt>
                <c:pt idx="14">
                  <c:v>-5.2927131223970768E-2</c:v>
                </c:pt>
                <c:pt idx="15">
                  <c:v>0.30072233649981611</c:v>
                </c:pt>
                <c:pt idx="16">
                  <c:v>0.536488648315673</c:v>
                </c:pt>
                <c:pt idx="17">
                  <c:v>-1.4675250021191151</c:v>
                </c:pt>
                <c:pt idx="18">
                  <c:v>-1.5854081580270436</c:v>
                </c:pt>
                <c:pt idx="19">
                  <c:v>-0.99599237848739974</c:v>
                </c:pt>
                <c:pt idx="20">
                  <c:v>0.8901381160394598</c:v>
                </c:pt>
                <c:pt idx="21">
                  <c:v>-0.76022606667154291</c:v>
                </c:pt>
                <c:pt idx="22">
                  <c:v>-0.40657659894775605</c:v>
                </c:pt>
                <c:pt idx="23">
                  <c:v>-0.28869344303982764</c:v>
                </c:pt>
                <c:pt idx="24">
                  <c:v>-0.28869344303982764</c:v>
                </c:pt>
                <c:pt idx="25">
                  <c:v>-0.87810922257947133</c:v>
                </c:pt>
                <c:pt idx="26">
                  <c:v>-0.28869344303982764</c:v>
                </c:pt>
                <c:pt idx="27">
                  <c:v>-0.28869344303982764</c:v>
                </c:pt>
                <c:pt idx="28">
                  <c:v>-0.99599237848739974</c:v>
                </c:pt>
                <c:pt idx="29">
                  <c:v>1.4795538955791037</c:v>
                </c:pt>
                <c:pt idx="30">
                  <c:v>-1.821174469842902</c:v>
                </c:pt>
                <c:pt idx="31">
                  <c:v>-1.1138755343953297</c:v>
                </c:pt>
                <c:pt idx="32">
                  <c:v>-0.52445975485568452</c:v>
                </c:pt>
                <c:pt idx="33">
                  <c:v>-0.28869344303982764</c:v>
                </c:pt>
                <c:pt idx="34">
                  <c:v>-0.28869344303982764</c:v>
                </c:pt>
                <c:pt idx="35">
                  <c:v>0.8901381160394598</c:v>
                </c:pt>
                <c:pt idx="36">
                  <c:v>0.536488648315673</c:v>
                </c:pt>
                <c:pt idx="37">
                  <c:v>0.30072233649981611</c:v>
                </c:pt>
                <c:pt idx="38">
                  <c:v>-0.52445975485568452</c:v>
                </c:pt>
                <c:pt idx="39">
                  <c:v>1.0080212719473882</c:v>
                </c:pt>
                <c:pt idx="40">
                  <c:v>1.1259044278553167</c:v>
                </c:pt>
                <c:pt idx="41">
                  <c:v>-0.64234291076361449</c:v>
                </c:pt>
                <c:pt idx="42">
                  <c:v>-5.2927131223970768E-2</c:v>
                </c:pt>
                <c:pt idx="43">
                  <c:v>-0.40657659894775605</c:v>
                </c:pt>
                <c:pt idx="44">
                  <c:v>2.4226191428425343</c:v>
                </c:pt>
                <c:pt idx="45">
                  <c:v>-1.2317586903032582</c:v>
                </c:pt>
                <c:pt idx="46">
                  <c:v>-5.2927131223970768E-2</c:v>
                </c:pt>
                <c:pt idx="47">
                  <c:v>0.30072233649981611</c:v>
                </c:pt>
                <c:pt idx="48">
                  <c:v>0.536488648315673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C6-4FBF-92E0-242E49F518E6}"/>
            </c:ext>
          </c:extLst>
        </c:ser>
        <c:ser>
          <c:idx val="7"/>
          <c:order val="1"/>
          <c:tx>
            <c:strRef>
              <c:f>bd_1825!$T$1</c:f>
              <c:strCache>
                <c:ptCount val="1"/>
                <c:pt idx="0">
                  <c:v>std_Prod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bd_1825!$B$2:$C$50</c:f>
              <c:multiLvlStrCache>
                <c:ptCount val="49"/>
                <c:lvl>
                  <c:pt idx="0">
                    <c:v>6</c:v>
                  </c:pt>
                  <c:pt idx="1">
                    <c:v>7</c:v>
                  </c:pt>
                  <c:pt idx="2">
                    <c:v>8</c:v>
                  </c:pt>
                  <c:pt idx="3">
                    <c:v>9</c:v>
                  </c:pt>
                  <c:pt idx="4">
                    <c:v>10</c:v>
                  </c:pt>
                  <c:pt idx="5">
                    <c:v>11</c:v>
                  </c:pt>
                  <c:pt idx="6">
                    <c:v>12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  <c:pt idx="12">
                    <c:v>6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10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3">
                    <c:v>5</c:v>
                  </c:pt>
                  <c:pt idx="24">
                    <c:v>6</c:v>
                  </c:pt>
                  <c:pt idx="25">
                    <c:v>7</c:v>
                  </c:pt>
                  <c:pt idx="26">
                    <c:v>8</c:v>
                  </c:pt>
                  <c:pt idx="27">
                    <c:v>9</c:v>
                  </c:pt>
                  <c:pt idx="28">
                    <c:v>10</c:v>
                  </c:pt>
                  <c:pt idx="29">
                    <c:v>11</c:v>
                  </c:pt>
                  <c:pt idx="30">
                    <c:v>12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5">
                    <c:v>5</c:v>
                  </c:pt>
                  <c:pt idx="36">
                    <c:v>6</c:v>
                  </c:pt>
                  <c:pt idx="37">
                    <c:v>7</c:v>
                  </c:pt>
                  <c:pt idx="38">
                    <c:v>8</c:v>
                  </c:pt>
                  <c:pt idx="39">
                    <c:v>9</c:v>
                  </c:pt>
                  <c:pt idx="40">
                    <c:v>10</c:v>
                  </c:pt>
                  <c:pt idx="41">
                    <c:v>11</c:v>
                  </c:pt>
                  <c:pt idx="42">
                    <c:v>12</c:v>
                  </c:pt>
                  <c:pt idx="43">
                    <c:v>1</c:v>
                  </c:pt>
                  <c:pt idx="44">
                    <c:v>2</c:v>
                  </c:pt>
                  <c:pt idx="45">
                    <c:v>3</c:v>
                  </c:pt>
                  <c:pt idx="46">
                    <c:v>4</c:v>
                  </c:pt>
                  <c:pt idx="47">
                    <c:v>5</c:v>
                  </c:pt>
                  <c:pt idx="48">
                    <c:v>6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  <c:pt idx="27">
                    <c:v>2020</c:v>
                  </c:pt>
                  <c:pt idx="28">
                    <c:v>2020</c:v>
                  </c:pt>
                  <c:pt idx="29">
                    <c:v>2020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2021</c:v>
                  </c:pt>
                  <c:pt idx="37">
                    <c:v>2021</c:v>
                  </c:pt>
                  <c:pt idx="38">
                    <c:v>2021</c:v>
                  </c:pt>
                  <c:pt idx="39">
                    <c:v>2021</c:v>
                  </c:pt>
                  <c:pt idx="40">
                    <c:v>2021</c:v>
                  </c:pt>
                  <c:pt idx="41">
                    <c:v>2021</c:v>
                  </c:pt>
                  <c:pt idx="42">
                    <c:v>2021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bd_1825!$T$2:$T$50</c:f>
              <c:numCache>
                <c:formatCode>_ * #,##0.0_ ;_ * \-#,##0.0_ ;_ * "-"_ ;_ @_ </c:formatCode>
                <c:ptCount val="49"/>
                <c:pt idx="0">
                  <c:v>0.89658912730494178</c:v>
                </c:pt>
                <c:pt idx="1">
                  <c:v>0.14367141554478258</c:v>
                </c:pt>
                <c:pt idx="2">
                  <c:v>-2.7892806801987127</c:v>
                </c:pt>
                <c:pt idx="3">
                  <c:v>0.1976209045803235</c:v>
                </c:pt>
                <c:pt idx="4">
                  <c:v>0.57696385264154837</c:v>
                </c:pt>
                <c:pt idx="5">
                  <c:v>0.27566104595248964</c:v>
                </c:pt>
                <c:pt idx="6">
                  <c:v>-0.61162143095279042</c:v>
                </c:pt>
                <c:pt idx="7">
                  <c:v>0.50774564029406188</c:v>
                </c:pt>
                <c:pt idx="8">
                  <c:v>0.12500964260796024</c:v>
                </c:pt>
                <c:pt idx="9">
                  <c:v>-0.26824480891525948</c:v>
                </c:pt>
                <c:pt idx="10">
                  <c:v>4.8956858873219584E-3</c:v>
                </c:pt>
                <c:pt idx="11">
                  <c:v>0.77545725569684043</c:v>
                </c:pt>
                <c:pt idx="12">
                  <c:v>0.73507996516080676</c:v>
                </c:pt>
                <c:pt idx="13">
                  <c:v>-0.3378023262252336</c:v>
                </c:pt>
                <c:pt idx="14">
                  <c:v>-2.7892806801987127</c:v>
                </c:pt>
                <c:pt idx="15">
                  <c:v>6.0541699735301276E-2</c:v>
                </c:pt>
                <c:pt idx="16">
                  <c:v>-2.4623845849106096E-2</c:v>
                </c:pt>
                <c:pt idx="17">
                  <c:v>-0.51593743153126503</c:v>
                </c:pt>
                <c:pt idx="18">
                  <c:v>-1.1290614987465006</c:v>
                </c:pt>
                <c:pt idx="19">
                  <c:v>-0.35476757434961753</c:v>
                </c:pt>
                <c:pt idx="20">
                  <c:v>-0.5230628357435062</c:v>
                </c:pt>
                <c:pt idx="21">
                  <c:v>-0.21395601491723085</c:v>
                </c:pt>
                <c:pt idx="22">
                  <c:v>-1.0099654569133254</c:v>
                </c:pt>
                <c:pt idx="23">
                  <c:v>-2.908328249894654E-3</c:v>
                </c:pt>
                <c:pt idx="24">
                  <c:v>0.45277823637105796</c:v>
                </c:pt>
                <c:pt idx="25">
                  <c:v>0.79819068818351491</c:v>
                </c:pt>
                <c:pt idx="26">
                  <c:v>-2.7892806801987127</c:v>
                </c:pt>
                <c:pt idx="27">
                  <c:v>0.43445576839672329</c:v>
                </c:pt>
                <c:pt idx="28">
                  <c:v>0.60784060422792718</c:v>
                </c:pt>
                <c:pt idx="29">
                  <c:v>0.60682268934046413</c:v>
                </c:pt>
                <c:pt idx="30">
                  <c:v>-5.5161292472997191E-2</c:v>
                </c:pt>
                <c:pt idx="31">
                  <c:v>0.52980046285576099</c:v>
                </c:pt>
                <c:pt idx="32">
                  <c:v>0.67739812153790135</c:v>
                </c:pt>
                <c:pt idx="33">
                  <c:v>1.1022079345724751</c:v>
                </c:pt>
                <c:pt idx="34">
                  <c:v>0.25326691842830285</c:v>
                </c:pt>
                <c:pt idx="35">
                  <c:v>0.5318362926306871</c:v>
                </c:pt>
                <c:pt idx="36">
                  <c:v>0.2987337834016518</c:v>
                </c:pt>
                <c:pt idx="37">
                  <c:v>1.5022484853454485</c:v>
                </c:pt>
                <c:pt idx="38">
                  <c:v>-2.7892806801987127</c:v>
                </c:pt>
                <c:pt idx="39">
                  <c:v>0.42733036418448206</c:v>
                </c:pt>
                <c:pt idx="40">
                  <c:v>0.24851664895347533</c:v>
                </c:pt>
                <c:pt idx="41">
                  <c:v>0.51928200901864296</c:v>
                </c:pt>
                <c:pt idx="42">
                  <c:v>-0.56344012627953999</c:v>
                </c:pt>
                <c:pt idx="43">
                  <c:v>0.89387468760504041</c:v>
                </c:pt>
                <c:pt idx="44">
                  <c:v>0.66212939822595573</c:v>
                </c:pt>
                <c:pt idx="45">
                  <c:v>0.52233575368103213</c:v>
                </c:pt>
                <c:pt idx="46">
                  <c:v>-0.42941466609690687</c:v>
                </c:pt>
                <c:pt idx="47">
                  <c:v>0.86978403526841519</c:v>
                </c:pt>
                <c:pt idx="48">
                  <c:v>0.95902124040267467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C6-4FBF-92E0-242E49F51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700608"/>
        <c:axId val="1178688608"/>
      </c:lineChart>
      <c:catAx>
        <c:axId val="117870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8688608"/>
        <c:crosses val="autoZero"/>
        <c:auto val="1"/>
        <c:lblAlgn val="ctr"/>
        <c:lblOffset val="100"/>
        <c:noMultiLvlLbl val="0"/>
      </c:catAx>
      <c:valAx>
        <c:axId val="11786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87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647700</xdr:colOff>
      <xdr:row>13</xdr:row>
      <xdr:rowOff>137166</xdr:rowOff>
    </xdr:from>
    <xdr:to>
      <xdr:col>59</xdr:col>
      <xdr:colOff>45720</xdr:colOff>
      <xdr:row>37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A1F72F-CFBC-9B9E-26B7-C710C587C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0</xdr:colOff>
      <xdr:row>40</xdr:row>
      <xdr:rowOff>83820</xdr:rowOff>
    </xdr:from>
    <xdr:to>
      <xdr:col>58</xdr:col>
      <xdr:colOff>190500</xdr:colOff>
      <xdr:row>64</xdr:row>
      <xdr:rowOff>121914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0F67F5-88AB-44C2-8FFA-786ED3D87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217170</xdr:colOff>
      <xdr:row>15</xdr:row>
      <xdr:rowOff>83820</xdr:rowOff>
    </xdr:from>
    <xdr:to>
      <xdr:col>64</xdr:col>
      <xdr:colOff>723900</xdr:colOff>
      <xdr:row>31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01C063-AD0F-B4EE-B7D9-C7A6DA367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499110</xdr:colOff>
      <xdr:row>2</xdr:row>
      <xdr:rowOff>68580</xdr:rowOff>
    </xdr:from>
    <xdr:to>
      <xdr:col>71</xdr:col>
      <xdr:colOff>251460</xdr:colOff>
      <xdr:row>18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8990B9-D209-540C-D4C4-1B44D0642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259080</xdr:colOff>
      <xdr:row>0</xdr:row>
      <xdr:rowOff>83820</xdr:rowOff>
    </xdr:from>
    <xdr:to>
      <xdr:col>16</xdr:col>
      <xdr:colOff>289560</xdr:colOff>
      <xdr:row>34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461BD6-EE28-86A8-A5C0-EB30264A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83820"/>
          <a:ext cx="7955280" cy="6217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114300</xdr:colOff>
      <xdr:row>8</xdr:row>
      <xdr:rowOff>7620</xdr:rowOff>
    </xdr:from>
    <xdr:to>
      <xdr:col>47</xdr:col>
      <xdr:colOff>7620</xdr:colOff>
      <xdr:row>29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A9ECC3-9FC8-AAB2-718C-D02A555DE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7620</xdr:colOff>
      <xdr:row>8</xdr:row>
      <xdr:rowOff>0</xdr:rowOff>
    </xdr:from>
    <xdr:to>
      <xdr:col>55</xdr:col>
      <xdr:colOff>693420</xdr:colOff>
      <xdr:row>29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6D57B7-6841-4DC5-83F3-B53CCF39B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335280</xdr:colOff>
      <xdr:row>33</xdr:row>
      <xdr:rowOff>3810</xdr:rowOff>
    </xdr:from>
    <xdr:to>
      <xdr:col>47</xdr:col>
      <xdr:colOff>68580</xdr:colOff>
      <xdr:row>50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D018DD-2F11-2769-74BB-5E4F118B1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289560</xdr:colOff>
      <xdr:row>33</xdr:row>
      <xdr:rowOff>38100</xdr:rowOff>
    </xdr:from>
    <xdr:to>
      <xdr:col>56</xdr:col>
      <xdr:colOff>0</xdr:colOff>
      <xdr:row>51</xdr:row>
      <xdr:rowOff>30480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B55EC0-A140-46FE-92CB-1BE08B27B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137160</xdr:colOff>
      <xdr:row>0</xdr:row>
      <xdr:rowOff>87630</xdr:rowOff>
    </xdr:from>
    <xdr:to>
      <xdr:col>32</xdr:col>
      <xdr:colOff>586740</xdr:colOff>
      <xdr:row>29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7FC8DE-EF24-8239-8A14-020F9FEE3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86B125-465E-4B3A-97D0-BC0D9FF84B88}">
  <we:reference id="wa104381701" version="1.0.0.4" store="es-E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prtr-es.es/informes/fichacomplejo.aspx?Id_Complejo=3289" TargetMode="External"/><Relationship Id="rId13" Type="http://schemas.openxmlformats.org/officeDocument/2006/relationships/hyperlink" Target="http://prtr-es.es/informes/fichacomplejo.aspx?Id_Complejo=3333" TargetMode="External"/><Relationship Id="rId18" Type="http://schemas.openxmlformats.org/officeDocument/2006/relationships/hyperlink" Target="http://prtr-es.es/informes/fichacomplejo.aspx?Id_Complejo=3931" TargetMode="External"/><Relationship Id="rId3" Type="http://schemas.openxmlformats.org/officeDocument/2006/relationships/hyperlink" Target="javascript:__doPostBack('ctl00$ContentPlaceHolder1$Buscador1$ComplejosGrid$ctl00$ctl02$ctl00$ctl02','')" TargetMode="External"/><Relationship Id="rId7" Type="http://schemas.openxmlformats.org/officeDocument/2006/relationships/hyperlink" Target="http://prtr-es.es/informes/fichacomplejo.aspx?Id_Complejo=3278" TargetMode="External"/><Relationship Id="rId12" Type="http://schemas.openxmlformats.org/officeDocument/2006/relationships/hyperlink" Target="http://prtr-es.es/informes/fichacomplejo.aspx?Id_Complejo=3324" TargetMode="External"/><Relationship Id="rId17" Type="http://schemas.openxmlformats.org/officeDocument/2006/relationships/hyperlink" Target="http://prtr-es.es/informes/fichacomplejo.aspx?Id_Complejo=3381" TargetMode="External"/><Relationship Id="rId2" Type="http://schemas.openxmlformats.org/officeDocument/2006/relationships/hyperlink" Target="javascript:__doPostBack('ctl00$ContentPlaceHolder1$Buscador1$ComplejosGrid$ctl00$ctl02$ctl00$ctl01','')" TargetMode="External"/><Relationship Id="rId16" Type="http://schemas.openxmlformats.org/officeDocument/2006/relationships/hyperlink" Target="http://prtr-es.es/informes/fichacomplejo.aspx?Id_Complejo=3372" TargetMode="External"/><Relationship Id="rId20" Type="http://schemas.openxmlformats.org/officeDocument/2006/relationships/hyperlink" Target="http://prtr-es.es/informes/fichacomplejo.aspx?Id_Complejo=4057" TargetMode="External"/><Relationship Id="rId1" Type="http://schemas.openxmlformats.org/officeDocument/2006/relationships/hyperlink" Target="javascript:__doPostBack('ctl00$ContentPlaceHolder1$Buscador1$ComplejosGrid$ctl00$ctl02$ctl00$ctl00','')" TargetMode="External"/><Relationship Id="rId6" Type="http://schemas.openxmlformats.org/officeDocument/2006/relationships/hyperlink" Target="javascript:__doPostBack('ctl00$ContentPlaceHolder1$Buscador1$ComplejosGrid$ctl00$ctl02$ctl00$ctl05','')" TargetMode="External"/><Relationship Id="rId11" Type="http://schemas.openxmlformats.org/officeDocument/2006/relationships/hyperlink" Target="http://prtr-es.es/informes/fichacomplejo.aspx?Id_Complejo=3323" TargetMode="External"/><Relationship Id="rId5" Type="http://schemas.openxmlformats.org/officeDocument/2006/relationships/hyperlink" Target="javascript:__doPostBack('ctl00$ContentPlaceHolder1$Buscador1$ComplejosGrid$ctl00$ctl02$ctl00$ctl04','')" TargetMode="External"/><Relationship Id="rId15" Type="http://schemas.openxmlformats.org/officeDocument/2006/relationships/hyperlink" Target="http://prtr-es.es/informes/fichacomplejo.aspx?Id_Complejo=3371" TargetMode="External"/><Relationship Id="rId10" Type="http://schemas.openxmlformats.org/officeDocument/2006/relationships/hyperlink" Target="http://prtr-es.es/informes/fichacomplejo.aspx?Id_Complejo=3321" TargetMode="External"/><Relationship Id="rId19" Type="http://schemas.openxmlformats.org/officeDocument/2006/relationships/hyperlink" Target="http://prtr-es.es/informes/fichacomplejo.aspx?Id_Complejo=4011" TargetMode="External"/><Relationship Id="rId4" Type="http://schemas.openxmlformats.org/officeDocument/2006/relationships/hyperlink" Target="javascript:__doPostBack('ctl00$ContentPlaceHolder1$Buscador1$ComplejosGrid$ctl00$ctl02$ctl00$ctl03','')" TargetMode="External"/><Relationship Id="rId9" Type="http://schemas.openxmlformats.org/officeDocument/2006/relationships/hyperlink" Target="http://prtr-es.es/informes/fichacomplejo.aspx?Id_Complejo=3293" TargetMode="External"/><Relationship Id="rId14" Type="http://schemas.openxmlformats.org/officeDocument/2006/relationships/hyperlink" Target="http://prtr-es.es/informes/fichacomplejo.aspx?Id_Complejo=3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0F23-FB9A-4CE4-98DC-C8D79E6C9323}">
  <dimension ref="A1:BW75"/>
  <sheetViews>
    <sheetView zoomScale="98" zoomScaleNormal="98" workbookViewId="0">
      <pane xSplit="5" ySplit="2" topLeftCell="AO3" activePane="bottomRight" state="frozen"/>
      <selection pane="topRight" activeCell="F1" sqref="F1"/>
      <selection pane="bottomLeft" activeCell="A3" sqref="A3"/>
      <selection pane="bottomRight" activeCell="BA6" sqref="AP6:BA6"/>
    </sheetView>
  </sheetViews>
  <sheetFormatPr baseColWidth="10" defaultRowHeight="14.4" x14ac:dyDescent="0.3"/>
  <cols>
    <col min="1" max="3" width="9.44140625" style="2" customWidth="1"/>
    <col min="4" max="4" width="15" style="2" customWidth="1"/>
    <col min="5" max="5" width="10.77734375" style="2" customWidth="1"/>
    <col min="6" max="72" width="11.5546875" style="2"/>
    <col min="73" max="73" width="14.21875" style="2" customWidth="1"/>
    <col min="74" max="74" width="16.77734375" style="2" customWidth="1"/>
    <col min="75" max="16384" width="11.5546875" style="2"/>
  </cols>
  <sheetData>
    <row r="1" spans="1:75" x14ac:dyDescent="0.3">
      <c r="A1" s="9"/>
      <c r="B1" s="9"/>
      <c r="C1" s="9"/>
      <c r="D1" s="9"/>
      <c r="E1" s="9"/>
      <c r="F1" s="9" t="s">
        <v>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 t="s">
        <v>1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 t="s">
        <v>2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 t="s">
        <v>3</v>
      </c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 t="s">
        <v>4</v>
      </c>
      <c r="BC1" s="9"/>
      <c r="BD1" s="9"/>
      <c r="BE1" s="9"/>
      <c r="BF1" s="9"/>
      <c r="BG1" s="9"/>
      <c r="BI1" s="1" t="s">
        <v>33</v>
      </c>
      <c r="BJ1" s="9"/>
      <c r="BK1" s="9"/>
      <c r="BL1" s="9"/>
      <c r="BM1" s="9"/>
    </row>
    <row r="2" spans="1:75" ht="15" customHeight="1" x14ac:dyDescent="0.3">
      <c r="A2" s="9" t="s">
        <v>8</v>
      </c>
      <c r="B2" s="9" t="s">
        <v>79</v>
      </c>
      <c r="C2" s="9" t="s">
        <v>81</v>
      </c>
      <c r="D2" s="9" t="s">
        <v>16</v>
      </c>
      <c r="E2" s="9" t="s">
        <v>15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28</v>
      </c>
      <c r="AA2" s="9" t="s">
        <v>29</v>
      </c>
      <c r="AB2" s="9" t="s">
        <v>30</v>
      </c>
      <c r="AC2" s="9" t="s">
        <v>31</v>
      </c>
      <c r="AD2" s="9" t="s">
        <v>20</v>
      </c>
      <c r="AE2" s="9" t="s">
        <v>21</v>
      </c>
      <c r="AF2" s="9" t="s">
        <v>22</v>
      </c>
      <c r="AG2" s="9" t="s">
        <v>23</v>
      </c>
      <c r="AH2" s="9" t="s">
        <v>24</v>
      </c>
      <c r="AI2" s="9" t="s">
        <v>25</v>
      </c>
      <c r="AJ2" s="9" t="s">
        <v>26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20</v>
      </c>
      <c r="AQ2" s="9" t="s">
        <v>21</v>
      </c>
      <c r="AR2" s="9" t="s">
        <v>22</v>
      </c>
      <c r="AS2" s="9" t="s">
        <v>23</v>
      </c>
      <c r="AT2" s="9" t="s">
        <v>24</v>
      </c>
      <c r="AU2" s="9" t="s">
        <v>25</v>
      </c>
      <c r="AV2" s="9" t="s">
        <v>26</v>
      </c>
      <c r="AW2" s="9" t="s">
        <v>27</v>
      </c>
      <c r="AX2" s="9" t="s">
        <v>28</v>
      </c>
      <c r="AY2" s="9" t="s">
        <v>29</v>
      </c>
      <c r="AZ2" s="9" t="s">
        <v>30</v>
      </c>
      <c r="BA2" s="9" t="s">
        <v>31</v>
      </c>
      <c r="BB2" s="9" t="s">
        <v>20</v>
      </c>
      <c r="BC2" s="9" t="s">
        <v>21</v>
      </c>
      <c r="BD2" s="9" t="s">
        <v>22</v>
      </c>
      <c r="BE2" s="9" t="s">
        <v>23</v>
      </c>
      <c r="BF2" s="9" t="s">
        <v>24</v>
      </c>
      <c r="BG2" s="9" t="s">
        <v>25</v>
      </c>
      <c r="BI2" s="9"/>
      <c r="BJ2" s="9">
        <v>2018</v>
      </c>
      <c r="BK2" s="9">
        <v>2019</v>
      </c>
      <c r="BL2" s="9">
        <v>2020</v>
      </c>
      <c r="BM2" s="9">
        <v>2021</v>
      </c>
    </row>
    <row r="3" spans="1:75" x14ac:dyDescent="0.3">
      <c r="A3" s="2">
        <v>1</v>
      </c>
      <c r="B3" s="12">
        <v>43.0349</v>
      </c>
      <c r="C3" s="11">
        <v>-3.0013100000000001</v>
      </c>
      <c r="D3" s="2" t="s">
        <v>14</v>
      </c>
      <c r="E3" s="2" t="s">
        <v>5</v>
      </c>
      <c r="F3" s="3">
        <v>7779</v>
      </c>
      <c r="G3" s="3">
        <v>8650</v>
      </c>
      <c r="H3" s="3">
        <v>8838</v>
      </c>
      <c r="I3" s="3">
        <v>8262</v>
      </c>
      <c r="J3" s="3">
        <v>9589</v>
      </c>
      <c r="K3" s="3">
        <v>7861</v>
      </c>
      <c r="L3" s="3">
        <v>7833</v>
      </c>
      <c r="M3" s="3">
        <v>0</v>
      </c>
      <c r="N3" s="3">
        <v>7393</v>
      </c>
      <c r="O3" s="3">
        <v>7848</v>
      </c>
      <c r="P3" s="3">
        <v>7171</v>
      </c>
      <c r="Q3" s="3">
        <v>4649</v>
      </c>
      <c r="R3" s="3">
        <v>7779</v>
      </c>
      <c r="S3" s="3">
        <v>7648</v>
      </c>
      <c r="T3" s="3">
        <v>7352</v>
      </c>
      <c r="U3" s="3">
        <v>7422</v>
      </c>
      <c r="V3" s="3">
        <v>9901</v>
      </c>
      <c r="W3" s="3">
        <v>8919</v>
      </c>
      <c r="X3" s="3">
        <v>8043</v>
      </c>
      <c r="Y3" s="3">
        <v>0</v>
      </c>
      <c r="Z3" s="3">
        <v>8480</v>
      </c>
      <c r="AA3" s="3">
        <v>7440</v>
      </c>
      <c r="AB3" s="3">
        <v>6916</v>
      </c>
      <c r="AC3" s="3">
        <v>3999</v>
      </c>
      <c r="AD3" s="3">
        <v>6358</v>
      </c>
      <c r="AE3" s="3">
        <v>6515</v>
      </c>
      <c r="AF3" s="3">
        <v>7352</v>
      </c>
      <c r="AG3" s="3">
        <v>4412</v>
      </c>
      <c r="AH3" s="3">
        <v>3098</v>
      </c>
      <c r="AI3" s="3">
        <v>3584</v>
      </c>
      <c r="AJ3" s="3">
        <v>5631</v>
      </c>
      <c r="AK3" s="3">
        <v>0</v>
      </c>
      <c r="AL3" s="3">
        <v>8480</v>
      </c>
      <c r="AM3" s="3">
        <v>7440</v>
      </c>
      <c r="AN3" s="3">
        <v>7440</v>
      </c>
      <c r="AO3" s="3">
        <v>7440</v>
      </c>
      <c r="AP3" s="3">
        <v>7440</v>
      </c>
      <c r="AQ3" s="3">
        <v>7440</v>
      </c>
      <c r="AR3" s="3">
        <v>4648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6087</v>
      </c>
      <c r="BC3" s="3">
        <v>5984</v>
      </c>
      <c r="BD3" s="3">
        <v>5753</v>
      </c>
      <c r="BE3" s="3">
        <v>5808</v>
      </c>
      <c r="BF3" s="3">
        <v>7747</v>
      </c>
      <c r="BG3" s="3">
        <v>6979</v>
      </c>
      <c r="BJ3" s="3">
        <f>+SUM(F3:Q3)</f>
        <v>85873</v>
      </c>
      <c r="BK3" s="3">
        <f>+SUM(R3:AC3)</f>
        <v>83899</v>
      </c>
      <c r="BL3" s="3">
        <f>+SUM(AD3:AO3)</f>
        <v>67750</v>
      </c>
      <c r="BM3" s="3">
        <f>+SUM(AP3:BA3)</f>
        <v>19528</v>
      </c>
    </row>
    <row r="4" spans="1:75" x14ac:dyDescent="0.3">
      <c r="A4" s="2">
        <v>2</v>
      </c>
      <c r="B4" s="12">
        <v>43.295010955927097</v>
      </c>
      <c r="C4" s="11">
        <v>-2.91</v>
      </c>
      <c r="D4" s="2" t="s">
        <v>9</v>
      </c>
      <c r="E4" s="10" t="s">
        <v>6</v>
      </c>
      <c r="F4" s="3">
        <v>10511</v>
      </c>
      <c r="G4" s="3">
        <v>10035</v>
      </c>
      <c r="H4" s="3">
        <v>9363</v>
      </c>
      <c r="I4" s="3">
        <v>9355</v>
      </c>
      <c r="J4" s="3">
        <v>12406</v>
      </c>
      <c r="K4" s="3">
        <v>10863</v>
      </c>
      <c r="L4" s="3">
        <v>8644</v>
      </c>
      <c r="M4" s="3">
        <v>0</v>
      </c>
      <c r="N4" s="3">
        <v>8803</v>
      </c>
      <c r="O4" s="3">
        <v>9921</v>
      </c>
      <c r="P4" s="3">
        <v>9033</v>
      </c>
      <c r="Q4" s="3">
        <v>6418</v>
      </c>
      <c r="R4" s="3">
        <v>9717</v>
      </c>
      <c r="S4" s="3">
        <v>8589</v>
      </c>
      <c r="T4" s="3">
        <v>7430</v>
      </c>
      <c r="U4" s="3">
        <v>8235</v>
      </c>
      <c r="V4" s="3">
        <v>10506</v>
      </c>
      <c r="W4" s="3">
        <v>10387</v>
      </c>
      <c r="X4" s="3">
        <v>7225</v>
      </c>
      <c r="Y4" s="3">
        <v>0</v>
      </c>
      <c r="Z4" s="3">
        <v>8399</v>
      </c>
      <c r="AA4" s="3">
        <v>8148</v>
      </c>
      <c r="AB4" s="3">
        <v>6700</v>
      </c>
      <c r="AC4" s="3">
        <v>4893</v>
      </c>
      <c r="AD4" s="3">
        <v>7175</v>
      </c>
      <c r="AE4" s="3">
        <v>6679</v>
      </c>
      <c r="AF4" s="3">
        <v>7590</v>
      </c>
      <c r="AG4" s="3">
        <v>5244</v>
      </c>
      <c r="AH4" s="3">
        <v>8212</v>
      </c>
      <c r="AI4" s="3">
        <v>9555</v>
      </c>
      <c r="AJ4" s="3">
        <v>10573</v>
      </c>
      <c r="AK4" s="3">
        <v>0</v>
      </c>
      <c r="AL4" s="3">
        <v>9501</v>
      </c>
      <c r="AM4" s="3">
        <v>10012</v>
      </c>
      <c r="AN4" s="3">
        <v>10009</v>
      </c>
      <c r="AO4" s="3">
        <v>8058</v>
      </c>
      <c r="AP4" s="3">
        <v>9782</v>
      </c>
      <c r="AQ4" s="3">
        <v>10217</v>
      </c>
      <c r="AR4" s="3">
        <v>11469</v>
      </c>
      <c r="AS4" s="3">
        <v>8967</v>
      </c>
      <c r="AT4" s="3">
        <v>9788</v>
      </c>
      <c r="AU4" s="3">
        <v>9101</v>
      </c>
      <c r="AV4" s="3">
        <v>12648</v>
      </c>
      <c r="AW4" s="3">
        <v>0</v>
      </c>
      <c r="AX4" s="3">
        <v>9480</v>
      </c>
      <c r="AY4" s="3">
        <v>8953</v>
      </c>
      <c r="AZ4" s="3">
        <v>9751</v>
      </c>
      <c r="BA4" s="3">
        <v>6560</v>
      </c>
      <c r="BB4" s="3">
        <v>10855</v>
      </c>
      <c r="BC4" s="3">
        <v>10172</v>
      </c>
      <c r="BD4" s="3">
        <v>9760</v>
      </c>
      <c r="BE4" s="3">
        <v>6955</v>
      </c>
      <c r="BF4" s="3">
        <v>10784</v>
      </c>
      <c r="BG4" s="3">
        <v>11047</v>
      </c>
      <c r="BJ4" s="3">
        <f t="shared" ref="BJ4:BJ10" si="0">+SUM(F4:Q4)</f>
        <v>105352</v>
      </c>
      <c r="BK4" s="3">
        <f t="shared" ref="BK4:BK10" si="1">+SUM(R4:AC4)</f>
        <v>90229</v>
      </c>
      <c r="BL4" s="3">
        <f t="shared" ref="BL4:BL10" si="2">+SUM(AD4:AO4)</f>
        <v>92608</v>
      </c>
      <c r="BM4" s="3">
        <f t="shared" ref="BM4:BM10" si="3">+SUM(AP4:BA4)</f>
        <v>106716</v>
      </c>
    </row>
    <row r="5" spans="1:75" x14ac:dyDescent="0.3">
      <c r="A5" s="2">
        <v>3</v>
      </c>
      <c r="B5" s="12">
        <v>43.041697613627299</v>
      </c>
      <c r="C5" s="11">
        <v>-2.2160007186443802</v>
      </c>
      <c r="D5" s="2" t="s">
        <v>10</v>
      </c>
      <c r="E5" s="3" t="s">
        <v>7</v>
      </c>
      <c r="F5" s="3">
        <v>81338</v>
      </c>
      <c r="G5" s="3">
        <v>79416</v>
      </c>
      <c r="H5" s="3">
        <v>85121</v>
      </c>
      <c r="I5" s="3">
        <v>76612</v>
      </c>
      <c r="J5" s="3">
        <v>97937</v>
      </c>
      <c r="K5" s="3">
        <v>92810</v>
      </c>
      <c r="L5" s="3">
        <v>59380</v>
      </c>
      <c r="M5" s="3">
        <v>81648</v>
      </c>
      <c r="N5" s="3">
        <v>95199</v>
      </c>
      <c r="O5" s="3">
        <v>97804</v>
      </c>
      <c r="P5" s="3">
        <v>94850</v>
      </c>
      <c r="Q5" s="3">
        <v>78056</v>
      </c>
      <c r="R5" s="3">
        <v>92957</v>
      </c>
      <c r="S5" s="3">
        <v>93110</v>
      </c>
      <c r="T5" s="3">
        <v>101407</v>
      </c>
      <c r="U5" s="3">
        <v>82455</v>
      </c>
      <c r="V5" s="3">
        <v>92583</v>
      </c>
      <c r="W5" s="3">
        <v>94957</v>
      </c>
      <c r="X5" s="3">
        <v>80964</v>
      </c>
      <c r="Y5" s="3">
        <v>53401</v>
      </c>
      <c r="Z5" s="3">
        <v>52890</v>
      </c>
      <c r="AA5" s="3">
        <v>103002</v>
      </c>
      <c r="AB5" s="3">
        <v>88527</v>
      </c>
      <c r="AC5" s="3">
        <v>80811</v>
      </c>
      <c r="AD5" s="3">
        <v>78112</v>
      </c>
      <c r="AE5" s="3">
        <v>79394</v>
      </c>
      <c r="AF5" s="3">
        <v>74517</v>
      </c>
      <c r="AG5" s="3">
        <v>64986</v>
      </c>
      <c r="AH5" s="3">
        <v>77012</v>
      </c>
      <c r="AI5" s="3">
        <v>68290</v>
      </c>
      <c r="AJ5" s="3">
        <v>51309</v>
      </c>
      <c r="AK5" s="3">
        <v>73204</v>
      </c>
      <c r="AL5" s="3">
        <v>94475</v>
      </c>
      <c r="AM5" s="3">
        <v>93510</v>
      </c>
      <c r="AN5" s="3">
        <v>92648</v>
      </c>
      <c r="AO5" s="3">
        <v>84320</v>
      </c>
      <c r="AP5" s="3">
        <v>91078</v>
      </c>
      <c r="AQ5" s="3">
        <v>92052</v>
      </c>
      <c r="AR5" s="3">
        <v>101559</v>
      </c>
      <c r="AS5" s="3">
        <v>85167</v>
      </c>
      <c r="AT5" s="3">
        <v>94434</v>
      </c>
      <c r="AU5" s="3">
        <v>94321</v>
      </c>
      <c r="AV5" s="3">
        <v>60288</v>
      </c>
      <c r="AW5" s="3">
        <v>82172</v>
      </c>
      <c r="AX5" s="3">
        <v>97136</v>
      </c>
      <c r="AY5" s="3">
        <v>97136</v>
      </c>
      <c r="AZ5" s="3">
        <v>92523</v>
      </c>
      <c r="BA5" s="3">
        <v>74768</v>
      </c>
      <c r="BB5" s="3">
        <v>70570</v>
      </c>
      <c r="BC5" s="3">
        <v>91283</v>
      </c>
      <c r="BD5" s="3">
        <v>90881</v>
      </c>
      <c r="BE5" s="3">
        <v>88671</v>
      </c>
      <c r="BF5" s="3">
        <v>97139</v>
      </c>
      <c r="BG5" s="3">
        <v>91331</v>
      </c>
      <c r="BJ5" s="3">
        <f t="shared" si="0"/>
        <v>1020171</v>
      </c>
      <c r="BK5" s="3">
        <f t="shared" si="1"/>
        <v>1017064</v>
      </c>
      <c r="BL5" s="3">
        <f t="shared" si="2"/>
        <v>931777</v>
      </c>
      <c r="BM5" s="3">
        <f t="shared" si="3"/>
        <v>1062634</v>
      </c>
    </row>
    <row r="6" spans="1:75" x14ac:dyDescent="0.3">
      <c r="A6" s="2">
        <v>4</v>
      </c>
      <c r="B6" s="12">
        <v>43.310400000000001</v>
      </c>
      <c r="C6" s="11">
        <v>-2.9984500000000001</v>
      </c>
      <c r="D6" s="2" t="s">
        <v>11</v>
      </c>
      <c r="E6" s="2" t="s">
        <v>6</v>
      </c>
      <c r="F6" s="3">
        <v>26169</v>
      </c>
      <c r="G6" s="3">
        <v>23112</v>
      </c>
      <c r="H6" s="3">
        <v>27548</v>
      </c>
      <c r="I6" s="3">
        <v>29044</v>
      </c>
      <c r="J6" s="3">
        <v>29569</v>
      </c>
      <c r="K6" s="3">
        <v>35429</v>
      </c>
      <c r="L6" s="3">
        <v>22584</v>
      </c>
      <c r="M6" s="3">
        <v>26841</v>
      </c>
      <c r="N6" s="3">
        <v>27538</v>
      </c>
      <c r="O6" s="3">
        <v>27856</v>
      </c>
      <c r="P6" s="3">
        <v>29519</v>
      </c>
      <c r="Q6" s="3">
        <v>27816</v>
      </c>
      <c r="R6" s="3">
        <v>29609</v>
      </c>
      <c r="S6" s="3">
        <v>28122</v>
      </c>
      <c r="T6" s="3">
        <v>31699</v>
      </c>
      <c r="U6" s="3">
        <v>28823</v>
      </c>
      <c r="V6" s="3">
        <v>27535</v>
      </c>
      <c r="W6" s="3">
        <v>19323</v>
      </c>
      <c r="X6" s="3">
        <v>15763</v>
      </c>
      <c r="Y6" s="3">
        <v>21826</v>
      </c>
      <c r="Z6" s="3">
        <v>26249</v>
      </c>
      <c r="AA6" s="3">
        <v>9442</v>
      </c>
      <c r="AB6" s="3">
        <v>33465</v>
      </c>
      <c r="AC6" s="3">
        <v>17628</v>
      </c>
      <c r="AD6" s="3">
        <v>26826</v>
      </c>
      <c r="AE6" s="3">
        <v>29718</v>
      </c>
      <c r="AF6" s="3">
        <v>38848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13285</v>
      </c>
      <c r="AM6" s="3">
        <v>46635</v>
      </c>
      <c r="AN6" s="3">
        <v>37167</v>
      </c>
      <c r="AO6" s="3">
        <v>38402</v>
      </c>
      <c r="AP6" s="3">
        <v>41461</v>
      </c>
      <c r="AQ6" s="3">
        <v>49350</v>
      </c>
      <c r="AR6" s="3">
        <v>51131</v>
      </c>
      <c r="AS6" s="3">
        <v>66690</v>
      </c>
      <c r="AT6" s="3">
        <v>68021</v>
      </c>
      <c r="AU6" s="3">
        <v>64828</v>
      </c>
      <c r="AV6" s="3">
        <v>70895</v>
      </c>
      <c r="AW6" s="3">
        <v>67011</v>
      </c>
      <c r="AX6" s="3">
        <v>47289</v>
      </c>
      <c r="AY6" s="3">
        <v>66469</v>
      </c>
      <c r="AZ6" s="3">
        <v>48831</v>
      </c>
      <c r="BA6" s="3">
        <v>7284</v>
      </c>
      <c r="BB6" s="3">
        <v>0</v>
      </c>
      <c r="BC6" s="3">
        <v>0</v>
      </c>
      <c r="BD6" s="3">
        <v>13578</v>
      </c>
      <c r="BE6" s="3">
        <v>30081</v>
      </c>
      <c r="BF6" s="3">
        <v>34281</v>
      </c>
      <c r="BG6" s="3">
        <v>31878</v>
      </c>
      <c r="BJ6" s="3">
        <f t="shared" si="0"/>
        <v>333025</v>
      </c>
      <c r="BK6" s="3">
        <f t="shared" si="1"/>
        <v>289484</v>
      </c>
      <c r="BL6" s="3">
        <f t="shared" si="2"/>
        <v>230881</v>
      </c>
      <c r="BM6" s="3">
        <f t="shared" si="3"/>
        <v>649260</v>
      </c>
      <c r="BU6" s="2" t="s">
        <v>92</v>
      </c>
      <c r="BV6" s="4" t="s">
        <v>35</v>
      </c>
      <c r="BW6" s="2" t="s">
        <v>93</v>
      </c>
    </row>
    <row r="7" spans="1:75" x14ac:dyDescent="0.3">
      <c r="A7" s="2">
        <v>5</v>
      </c>
      <c r="B7" s="12">
        <v>43.309899999999999</v>
      </c>
      <c r="C7" s="11">
        <v>-3.0207700000000002</v>
      </c>
      <c r="D7" s="2" t="s">
        <v>12</v>
      </c>
      <c r="E7" s="2" t="s">
        <v>6</v>
      </c>
      <c r="F7" s="3">
        <v>43072</v>
      </c>
      <c r="G7" s="3">
        <v>58049</v>
      </c>
      <c r="H7" s="3">
        <v>58392</v>
      </c>
      <c r="I7" s="3">
        <v>63843</v>
      </c>
      <c r="J7" s="3">
        <v>46378</v>
      </c>
      <c r="K7" s="3">
        <v>63755</v>
      </c>
      <c r="L7" s="3">
        <v>0</v>
      </c>
      <c r="M7" s="3">
        <v>69786</v>
      </c>
      <c r="N7" s="3">
        <v>57292</v>
      </c>
      <c r="O7" s="3">
        <v>58526</v>
      </c>
      <c r="P7" s="3">
        <v>64642</v>
      </c>
      <c r="Q7" s="3">
        <v>41453</v>
      </c>
      <c r="R7" s="3">
        <v>48900</v>
      </c>
      <c r="S7" s="3">
        <v>50202</v>
      </c>
      <c r="T7" s="3">
        <v>68275</v>
      </c>
      <c r="U7" s="3">
        <v>50097</v>
      </c>
      <c r="V7" s="3">
        <v>70426</v>
      </c>
      <c r="W7" s="3">
        <v>62822</v>
      </c>
      <c r="X7" s="3">
        <v>17822</v>
      </c>
      <c r="Y7" s="3">
        <v>43220</v>
      </c>
      <c r="Z7" s="3">
        <v>55982</v>
      </c>
      <c r="AA7" s="3">
        <v>63370</v>
      </c>
      <c r="AB7" s="3">
        <v>56308</v>
      </c>
      <c r="AC7" s="3">
        <v>46389</v>
      </c>
      <c r="AD7" s="3">
        <v>59186</v>
      </c>
      <c r="AE7" s="3">
        <v>47312</v>
      </c>
      <c r="AF7" s="3">
        <v>57599</v>
      </c>
      <c r="AG7" s="3">
        <v>24103</v>
      </c>
      <c r="AH7" s="3">
        <v>47698</v>
      </c>
      <c r="AI7" s="3">
        <v>60318</v>
      </c>
      <c r="AJ7" s="3">
        <v>34110</v>
      </c>
      <c r="AK7" s="3">
        <v>20214</v>
      </c>
      <c r="AL7" s="3">
        <v>54410</v>
      </c>
      <c r="AM7" s="3">
        <v>62100</v>
      </c>
      <c r="AN7" s="3">
        <v>59023</v>
      </c>
      <c r="AO7" s="3">
        <v>41052</v>
      </c>
      <c r="AP7" s="3">
        <v>52083</v>
      </c>
      <c r="AQ7" s="3">
        <v>58524</v>
      </c>
      <c r="AR7" s="3">
        <v>60861</v>
      </c>
      <c r="AS7" s="3">
        <v>52871</v>
      </c>
      <c r="AT7" s="3">
        <v>57526</v>
      </c>
      <c r="AU7" s="3">
        <v>59247</v>
      </c>
      <c r="AV7" s="3">
        <v>45854</v>
      </c>
      <c r="AW7" s="3">
        <v>13902</v>
      </c>
      <c r="AX7" s="3">
        <v>59414</v>
      </c>
      <c r="AY7" s="3">
        <v>58968</v>
      </c>
      <c r="AZ7" s="3">
        <v>61182</v>
      </c>
      <c r="BA7" s="3">
        <v>34704</v>
      </c>
      <c r="BB7" s="3">
        <v>37701</v>
      </c>
      <c r="BC7" s="3">
        <v>39576</v>
      </c>
      <c r="BD7" s="3">
        <v>30998</v>
      </c>
      <c r="BE7" s="3">
        <v>40511</v>
      </c>
      <c r="BF7" s="3">
        <v>52883</v>
      </c>
      <c r="BG7" s="3">
        <v>43978</v>
      </c>
      <c r="BJ7" s="3">
        <f t="shared" si="0"/>
        <v>625188</v>
      </c>
      <c r="BK7" s="3">
        <f t="shared" si="1"/>
        <v>633813</v>
      </c>
      <c r="BL7" s="3">
        <f t="shared" si="2"/>
        <v>567125</v>
      </c>
      <c r="BM7" s="3">
        <f t="shared" si="3"/>
        <v>615136</v>
      </c>
      <c r="BU7" s="2">
        <v>1</v>
      </c>
      <c r="BV7" s="2">
        <f t="shared" ref="BV7:BV14" si="4">+COUNTIF(F3:BG3,"")</f>
        <v>0</v>
      </c>
      <c r="BW7" s="24">
        <f>+BV7/54</f>
        <v>0</v>
      </c>
    </row>
    <row r="8" spans="1:75" x14ac:dyDescent="0.3">
      <c r="A8" s="2">
        <v>6</v>
      </c>
      <c r="B8" s="12">
        <v>43.299399999999999</v>
      </c>
      <c r="C8" s="11">
        <f>-3.00636</f>
        <v>-3.0063599999999999</v>
      </c>
      <c r="D8" s="2" t="s">
        <v>11</v>
      </c>
      <c r="E8" s="3" t="s">
        <v>6</v>
      </c>
      <c r="F8" s="3">
        <v>5424</v>
      </c>
      <c r="G8" s="3">
        <v>6340</v>
      </c>
      <c r="H8" s="3">
        <v>1551</v>
      </c>
      <c r="I8" s="3">
        <v>1159</v>
      </c>
      <c r="J8" s="3">
        <v>6228</v>
      </c>
      <c r="K8" s="3">
        <v>5833</v>
      </c>
      <c r="L8" s="3">
        <v>2535</v>
      </c>
      <c r="M8" s="3">
        <v>0</v>
      </c>
      <c r="N8" s="3">
        <v>5139</v>
      </c>
      <c r="O8" s="3">
        <v>6159</v>
      </c>
      <c r="P8" s="3">
        <v>5736</v>
      </c>
      <c r="Q8" s="3">
        <v>3789</v>
      </c>
      <c r="R8" s="3">
        <v>4042</v>
      </c>
      <c r="S8" s="3">
        <v>5284</v>
      </c>
      <c r="T8" s="3">
        <v>5661</v>
      </c>
      <c r="U8" s="3">
        <v>4344</v>
      </c>
      <c r="V8" s="3">
        <v>5284</v>
      </c>
      <c r="W8" s="3">
        <v>4864</v>
      </c>
      <c r="X8" s="3">
        <v>4864</v>
      </c>
      <c r="Y8" s="3">
        <v>1321</v>
      </c>
      <c r="Z8" s="3">
        <v>6831</v>
      </c>
      <c r="AA8" s="3">
        <v>7532</v>
      </c>
      <c r="AB8" s="3">
        <v>4754</v>
      </c>
      <c r="AC8" s="3">
        <v>3779</v>
      </c>
      <c r="AD8" s="3">
        <v>5990</v>
      </c>
      <c r="AE8" s="3">
        <v>5990</v>
      </c>
      <c r="AF8" s="3">
        <v>5990</v>
      </c>
      <c r="AG8" s="3">
        <v>2364</v>
      </c>
      <c r="AH8" s="3">
        <v>4645</v>
      </c>
      <c r="AI8" s="3">
        <v>4887</v>
      </c>
      <c r="AJ8" s="3">
        <v>1807</v>
      </c>
      <c r="AK8" s="3">
        <v>248</v>
      </c>
      <c r="AL8" s="3">
        <v>5978</v>
      </c>
      <c r="AM8" s="3">
        <v>6797</v>
      </c>
      <c r="AN8" s="3">
        <v>5719</v>
      </c>
      <c r="AO8" s="3">
        <v>3630</v>
      </c>
      <c r="AP8" s="3">
        <v>2400</v>
      </c>
      <c r="AQ8" s="3">
        <v>5931</v>
      </c>
      <c r="AR8" s="3">
        <v>5741</v>
      </c>
      <c r="AS8" s="3">
        <v>3859</v>
      </c>
      <c r="AT8" s="3">
        <v>4023</v>
      </c>
      <c r="AU8" s="3">
        <v>6005</v>
      </c>
      <c r="AV8" s="3">
        <v>6674</v>
      </c>
      <c r="AW8" s="3">
        <v>799</v>
      </c>
      <c r="AX8" s="3">
        <v>6820</v>
      </c>
      <c r="AY8" s="3">
        <v>5913</v>
      </c>
      <c r="AZ8" s="3">
        <v>6262</v>
      </c>
      <c r="BA8" s="3">
        <v>6262</v>
      </c>
      <c r="BB8" s="3">
        <v>4670</v>
      </c>
      <c r="BC8" s="3">
        <v>6578</v>
      </c>
      <c r="BD8" s="3">
        <v>6279</v>
      </c>
      <c r="BE8" s="3">
        <v>3726</v>
      </c>
      <c r="BF8" s="3">
        <v>6620</v>
      </c>
      <c r="BG8" s="3">
        <v>5863</v>
      </c>
      <c r="BJ8" s="3">
        <f t="shared" si="0"/>
        <v>49893</v>
      </c>
      <c r="BK8" s="3">
        <f t="shared" si="1"/>
        <v>58560</v>
      </c>
      <c r="BL8" s="3">
        <f t="shared" si="2"/>
        <v>54045</v>
      </c>
      <c r="BM8" s="3">
        <f t="shared" si="3"/>
        <v>60689</v>
      </c>
      <c r="BU8" s="2">
        <v>2</v>
      </c>
      <c r="BV8" s="2">
        <f t="shared" si="4"/>
        <v>0</v>
      </c>
      <c r="BW8" s="24">
        <f t="shared" ref="BW8:BW14" si="5">+BV8/54</f>
        <v>0</v>
      </c>
    </row>
    <row r="9" spans="1:75" x14ac:dyDescent="0.3">
      <c r="A9" s="2">
        <v>7</v>
      </c>
      <c r="B9" s="12">
        <v>43.268700000000003</v>
      </c>
      <c r="C9" s="11">
        <v>-3.1531099999999999</v>
      </c>
      <c r="D9" s="2" t="s">
        <v>13</v>
      </c>
      <c r="E9" s="3" t="s">
        <v>6</v>
      </c>
      <c r="F9" s="3">
        <v>15701</v>
      </c>
      <c r="G9" s="3">
        <v>62504</v>
      </c>
      <c r="H9" s="3">
        <v>72169</v>
      </c>
      <c r="I9" s="3">
        <v>71660</v>
      </c>
      <c r="J9" s="3">
        <v>70368</v>
      </c>
      <c r="K9" s="3">
        <v>74399</v>
      </c>
      <c r="L9" s="3">
        <v>74649</v>
      </c>
      <c r="M9" s="3">
        <v>28587</v>
      </c>
      <c r="N9" s="3">
        <v>61337</v>
      </c>
      <c r="O9" s="3">
        <v>77214</v>
      </c>
      <c r="P9" s="3">
        <v>13913</v>
      </c>
      <c r="Q9" s="3">
        <v>46502</v>
      </c>
      <c r="R9" s="3">
        <v>46502</v>
      </c>
      <c r="S9" s="3">
        <v>69211</v>
      </c>
      <c r="T9" s="3">
        <v>92904</v>
      </c>
      <c r="U9" s="3">
        <v>72941</v>
      </c>
      <c r="V9" s="3">
        <v>70170</v>
      </c>
      <c r="W9" s="3">
        <v>74860</v>
      </c>
      <c r="X9" s="3">
        <v>67051</v>
      </c>
      <c r="Y9" s="3">
        <v>10806</v>
      </c>
      <c r="Z9" s="3">
        <v>69319</v>
      </c>
      <c r="AA9" s="3">
        <v>64021</v>
      </c>
      <c r="AB9" s="3">
        <v>63757</v>
      </c>
      <c r="AC9" s="3">
        <v>38731</v>
      </c>
      <c r="AD9" s="3">
        <v>54920</v>
      </c>
      <c r="AE9" s="3">
        <v>68486</v>
      </c>
      <c r="AF9" s="3">
        <v>68077</v>
      </c>
      <c r="AG9" s="3">
        <v>5908</v>
      </c>
      <c r="AH9" s="3">
        <v>26594</v>
      </c>
      <c r="AI9" s="3">
        <v>34263</v>
      </c>
      <c r="AJ9" s="3">
        <v>55263</v>
      </c>
      <c r="AK9" s="3">
        <v>9726</v>
      </c>
      <c r="AL9" s="3">
        <v>28207</v>
      </c>
      <c r="AM9" s="3">
        <v>48813</v>
      </c>
      <c r="AN9" s="3">
        <v>43571</v>
      </c>
      <c r="AO9" s="3">
        <v>41689</v>
      </c>
      <c r="AP9" s="3">
        <v>54414</v>
      </c>
      <c r="AQ9" s="3">
        <v>57475</v>
      </c>
      <c r="AR9" s="3">
        <v>61597</v>
      </c>
      <c r="AS9" s="3">
        <v>63677</v>
      </c>
      <c r="AT9" s="3">
        <v>64791</v>
      </c>
      <c r="AU9" s="3">
        <v>77288</v>
      </c>
      <c r="AV9" s="3">
        <v>79551</v>
      </c>
      <c r="AW9" s="3">
        <v>14912</v>
      </c>
      <c r="AX9" s="3">
        <v>57785</v>
      </c>
      <c r="AY9" s="3">
        <v>67083</v>
      </c>
      <c r="AZ9" s="3">
        <v>50437</v>
      </c>
      <c r="BA9" s="3">
        <v>34494</v>
      </c>
      <c r="BB9" s="3">
        <v>57648</v>
      </c>
      <c r="BC9" s="3">
        <v>62055</v>
      </c>
      <c r="BD9" s="3">
        <v>52080</v>
      </c>
      <c r="BE9" s="3">
        <v>69726</v>
      </c>
      <c r="BF9" s="3">
        <v>70068</v>
      </c>
      <c r="BG9" s="3">
        <v>70284</v>
      </c>
      <c r="BJ9" s="3">
        <f t="shared" si="0"/>
        <v>669003</v>
      </c>
      <c r="BK9" s="3">
        <f t="shared" si="1"/>
        <v>740273</v>
      </c>
      <c r="BL9" s="3">
        <f t="shared" si="2"/>
        <v>485517</v>
      </c>
      <c r="BM9" s="3">
        <f t="shared" si="3"/>
        <v>683504</v>
      </c>
      <c r="BU9" s="2">
        <v>3</v>
      </c>
      <c r="BV9" s="2">
        <f t="shared" si="4"/>
        <v>0</v>
      </c>
      <c r="BW9" s="24">
        <f t="shared" si="5"/>
        <v>0</v>
      </c>
    </row>
    <row r="10" spans="1:75" x14ac:dyDescent="0.3">
      <c r="A10" s="2">
        <v>8</v>
      </c>
      <c r="B10" s="12">
        <v>43.077599999999997</v>
      </c>
      <c r="C10" s="11">
        <v>-2.9956800000000001</v>
      </c>
      <c r="D10" s="2" t="s">
        <v>14</v>
      </c>
      <c r="E10" s="2" t="s">
        <v>5</v>
      </c>
      <c r="F10" s="3">
        <v>23468</v>
      </c>
      <c r="G10" s="3">
        <v>24011</v>
      </c>
      <c r="H10" s="3">
        <v>22551</v>
      </c>
      <c r="I10" s="3">
        <v>21549</v>
      </c>
      <c r="J10" s="3">
        <v>22445</v>
      </c>
      <c r="K10" s="3">
        <v>23909</v>
      </c>
      <c r="L10" s="3">
        <v>18586</v>
      </c>
      <c r="M10" s="3">
        <v>0</v>
      </c>
      <c r="N10" s="3">
        <v>19479</v>
      </c>
      <c r="O10" s="3">
        <v>19695</v>
      </c>
      <c r="P10" s="3">
        <v>16513</v>
      </c>
      <c r="Q10" s="3">
        <v>4869</v>
      </c>
      <c r="R10" s="3">
        <v>16535</v>
      </c>
      <c r="S10" s="3">
        <v>12445</v>
      </c>
      <c r="T10" s="3">
        <v>9506</v>
      </c>
      <c r="U10" s="3">
        <v>16548</v>
      </c>
      <c r="V10" s="3">
        <v>18225</v>
      </c>
      <c r="W10" s="3">
        <v>21567</v>
      </c>
      <c r="X10" s="3">
        <v>17528</v>
      </c>
      <c r="Y10" s="3">
        <v>0</v>
      </c>
      <c r="Z10" s="3">
        <v>14725</v>
      </c>
      <c r="AA10" s="3">
        <v>13454</v>
      </c>
      <c r="AB10" s="3">
        <v>15750</v>
      </c>
      <c r="AC10" s="3">
        <v>13382</v>
      </c>
      <c r="AD10" s="3">
        <v>14628</v>
      </c>
      <c r="AE10" s="3">
        <v>15279</v>
      </c>
      <c r="AF10" s="3">
        <v>11896</v>
      </c>
      <c r="AG10" s="3">
        <v>2429</v>
      </c>
      <c r="AH10" s="3">
        <v>11498</v>
      </c>
      <c r="AI10" s="3">
        <v>14045</v>
      </c>
      <c r="AJ10" s="3">
        <v>6037</v>
      </c>
      <c r="AK10" s="3">
        <v>0</v>
      </c>
      <c r="AL10" s="3">
        <v>14725</v>
      </c>
      <c r="AM10" s="3">
        <v>6379</v>
      </c>
      <c r="AN10" s="3">
        <v>2796</v>
      </c>
      <c r="AO10" s="3">
        <v>4738</v>
      </c>
      <c r="AP10" s="3">
        <v>9994</v>
      </c>
      <c r="AQ10" s="3">
        <v>10757</v>
      </c>
      <c r="AR10" s="3">
        <v>12176</v>
      </c>
      <c r="AS10" s="3">
        <v>9126</v>
      </c>
      <c r="AT10" s="3">
        <v>12528</v>
      </c>
      <c r="AU10" s="3">
        <v>15674</v>
      </c>
      <c r="AV10" s="3">
        <v>15306</v>
      </c>
      <c r="AW10" s="3">
        <v>0</v>
      </c>
      <c r="AX10" s="3">
        <v>18835</v>
      </c>
      <c r="AY10" s="3">
        <v>19295</v>
      </c>
      <c r="AZ10" s="3">
        <v>5752</v>
      </c>
      <c r="BA10" s="3">
        <v>12184</v>
      </c>
      <c r="BB10" s="3">
        <v>16102</v>
      </c>
      <c r="BC10" s="3">
        <v>17264</v>
      </c>
      <c r="BD10" s="3">
        <v>26676</v>
      </c>
      <c r="BE10" s="3">
        <v>21113</v>
      </c>
      <c r="BF10" s="3">
        <v>19645</v>
      </c>
      <c r="BG10" s="3">
        <v>21753</v>
      </c>
      <c r="BJ10" s="3">
        <f t="shared" si="0"/>
        <v>217075</v>
      </c>
      <c r="BK10" s="3">
        <f t="shared" si="1"/>
        <v>169665</v>
      </c>
      <c r="BL10" s="3">
        <f t="shared" si="2"/>
        <v>104450</v>
      </c>
      <c r="BM10" s="3">
        <f t="shared" si="3"/>
        <v>141627</v>
      </c>
      <c r="BU10" s="2">
        <v>4</v>
      </c>
      <c r="BV10" s="2">
        <f t="shared" si="4"/>
        <v>0</v>
      </c>
      <c r="BW10" s="24">
        <f t="shared" si="5"/>
        <v>0</v>
      </c>
    </row>
    <row r="11" spans="1:75" x14ac:dyDescent="0.3"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U11" s="2">
        <v>5</v>
      </c>
      <c r="BV11" s="2">
        <f t="shared" si="4"/>
        <v>0</v>
      </c>
      <c r="BW11" s="24">
        <f t="shared" si="5"/>
        <v>0</v>
      </c>
    </row>
    <row r="12" spans="1:75" x14ac:dyDescent="0.3">
      <c r="E12" s="4" t="s">
        <v>17</v>
      </c>
      <c r="F12" s="5">
        <f>+SUM(F3:F10)</f>
        <v>213462</v>
      </c>
      <c r="G12" s="5">
        <f t="shared" ref="G12:BG12" si="6">+SUM(G3:G10)</f>
        <v>272117</v>
      </c>
      <c r="H12" s="5">
        <f t="shared" si="6"/>
        <v>285533</v>
      </c>
      <c r="I12" s="5">
        <f t="shared" si="6"/>
        <v>281484</v>
      </c>
      <c r="J12" s="5">
        <f t="shared" si="6"/>
        <v>294920</v>
      </c>
      <c r="K12" s="5">
        <f t="shared" si="6"/>
        <v>314859</v>
      </c>
      <c r="L12" s="5">
        <f t="shared" si="6"/>
        <v>194211</v>
      </c>
      <c r="M12" s="5">
        <f t="shared" si="6"/>
        <v>206862</v>
      </c>
      <c r="N12" s="5">
        <f t="shared" si="6"/>
        <v>282180</v>
      </c>
      <c r="O12" s="5">
        <f t="shared" si="6"/>
        <v>305023</v>
      </c>
      <c r="P12" s="5">
        <f t="shared" si="6"/>
        <v>241377</v>
      </c>
      <c r="Q12" s="5">
        <f t="shared" si="6"/>
        <v>213552</v>
      </c>
      <c r="R12" s="5">
        <f t="shared" si="6"/>
        <v>256041</v>
      </c>
      <c r="S12" s="5">
        <f t="shared" si="6"/>
        <v>274611</v>
      </c>
      <c r="T12" s="5">
        <f t="shared" si="6"/>
        <v>324234</v>
      </c>
      <c r="U12" s="5">
        <f t="shared" si="6"/>
        <v>270865</v>
      </c>
      <c r="V12" s="5">
        <f t="shared" si="6"/>
        <v>304630</v>
      </c>
      <c r="W12" s="5">
        <f t="shared" si="6"/>
        <v>297699</v>
      </c>
      <c r="X12" s="5">
        <f t="shared" si="6"/>
        <v>219260</v>
      </c>
      <c r="Y12" s="5">
        <f t="shared" si="6"/>
        <v>130574</v>
      </c>
      <c r="Z12" s="5">
        <f t="shared" si="6"/>
        <v>242875</v>
      </c>
      <c r="AA12" s="5">
        <f t="shared" si="6"/>
        <v>276409</v>
      </c>
      <c r="AB12" s="5">
        <f t="shared" si="6"/>
        <v>276177</v>
      </c>
      <c r="AC12" s="5">
        <f t="shared" si="6"/>
        <v>209612</v>
      </c>
      <c r="AD12" s="5">
        <f t="shared" si="6"/>
        <v>253195</v>
      </c>
      <c r="AE12" s="5">
        <f t="shared" si="6"/>
        <v>259373</v>
      </c>
      <c r="AF12" s="5">
        <f t="shared" si="6"/>
        <v>271869</v>
      </c>
      <c r="AG12" s="5">
        <f t="shared" si="6"/>
        <v>109446</v>
      </c>
      <c r="AH12" s="5">
        <f t="shared" si="6"/>
        <v>178757</v>
      </c>
      <c r="AI12" s="5">
        <f t="shared" si="6"/>
        <v>194942</v>
      </c>
      <c r="AJ12" s="5">
        <f t="shared" si="6"/>
        <v>164730</v>
      </c>
      <c r="AK12" s="5">
        <f t="shared" si="6"/>
        <v>103392</v>
      </c>
      <c r="AL12" s="5">
        <f t="shared" si="6"/>
        <v>229061</v>
      </c>
      <c r="AM12" s="5">
        <f t="shared" si="6"/>
        <v>281686</v>
      </c>
      <c r="AN12" s="5">
        <f t="shared" si="6"/>
        <v>258373</v>
      </c>
      <c r="AO12" s="5">
        <f t="shared" si="6"/>
        <v>229329</v>
      </c>
      <c r="AP12" s="5">
        <f t="shared" si="6"/>
        <v>268652</v>
      </c>
      <c r="AQ12" s="5">
        <f t="shared" si="6"/>
        <v>291746</v>
      </c>
      <c r="AR12" s="5">
        <f t="shared" si="6"/>
        <v>309182</v>
      </c>
      <c r="AS12" s="5">
        <f t="shared" si="6"/>
        <v>290357</v>
      </c>
      <c r="AT12" s="5">
        <f t="shared" si="6"/>
        <v>311111</v>
      </c>
      <c r="AU12" s="5">
        <f t="shared" si="6"/>
        <v>326464</v>
      </c>
      <c r="AV12" s="5">
        <f t="shared" si="6"/>
        <v>291216</v>
      </c>
      <c r="AW12" s="5">
        <f t="shared" si="6"/>
        <v>178796</v>
      </c>
      <c r="AX12" s="5">
        <f t="shared" si="6"/>
        <v>296759</v>
      </c>
      <c r="AY12" s="5">
        <f t="shared" si="6"/>
        <v>323817</v>
      </c>
      <c r="AZ12" s="5">
        <f t="shared" si="6"/>
        <v>274738</v>
      </c>
      <c r="BA12" s="5">
        <f t="shared" si="6"/>
        <v>176256</v>
      </c>
      <c r="BB12" s="5">
        <f t="shared" si="6"/>
        <v>203633</v>
      </c>
      <c r="BC12" s="5">
        <f t="shared" si="6"/>
        <v>232912</v>
      </c>
      <c r="BD12" s="5">
        <f t="shared" si="6"/>
        <v>236005</v>
      </c>
      <c r="BE12" s="5">
        <f t="shared" si="6"/>
        <v>266591</v>
      </c>
      <c r="BF12" s="5">
        <f t="shared" si="6"/>
        <v>299167</v>
      </c>
      <c r="BG12" s="5">
        <f t="shared" si="6"/>
        <v>283113</v>
      </c>
      <c r="BJ12" s="5">
        <f>+SUM(BJ3:BJ10)</f>
        <v>3105580</v>
      </c>
      <c r="BK12" s="5">
        <f>+SUM(BK3:BK10)</f>
        <v>3082987</v>
      </c>
      <c r="BL12" s="5">
        <f>+SUM(BL3:BL10)</f>
        <v>2534153</v>
      </c>
      <c r="BM12" s="5">
        <f>+SUM(BM3:BM10)</f>
        <v>3339094</v>
      </c>
      <c r="BU12" s="2">
        <v>6</v>
      </c>
      <c r="BV12" s="2">
        <f t="shared" si="4"/>
        <v>0</v>
      </c>
      <c r="BW12" s="24">
        <f t="shared" si="5"/>
        <v>0</v>
      </c>
    </row>
    <row r="13" spans="1:75" x14ac:dyDescent="0.3">
      <c r="R13" s="6">
        <f t="shared" ref="R13:BG13" si="7">+R12/F12*100-100</f>
        <v>19.946875790538826</v>
      </c>
      <c r="S13" s="6">
        <f t="shared" si="7"/>
        <v>0.91651752738710002</v>
      </c>
      <c r="T13" s="6">
        <f t="shared" si="7"/>
        <v>13.553949981263116</v>
      </c>
      <c r="U13" s="6">
        <f t="shared" si="7"/>
        <v>-3.7725057196856682</v>
      </c>
      <c r="V13" s="6">
        <f t="shared" si="7"/>
        <v>3.2924182829241886</v>
      </c>
      <c r="W13" s="6">
        <f t="shared" si="7"/>
        <v>-5.4500585976579998</v>
      </c>
      <c r="X13" s="6">
        <f t="shared" si="7"/>
        <v>12.897827620474644</v>
      </c>
      <c r="Y13" s="6">
        <f t="shared" si="7"/>
        <v>-36.87869207490985</v>
      </c>
      <c r="Z13" s="6">
        <f t="shared" si="7"/>
        <v>-13.929052377914815</v>
      </c>
      <c r="AA13" s="6">
        <f t="shared" si="7"/>
        <v>-9.3809319297233316</v>
      </c>
      <c r="AB13" s="6">
        <f t="shared" si="7"/>
        <v>14.417280851116715</v>
      </c>
      <c r="AC13" s="6">
        <f t="shared" si="7"/>
        <v>-1.8449838915111911</v>
      </c>
      <c r="AD13" s="6">
        <f t="shared" si="7"/>
        <v>-1.1115407298050002</v>
      </c>
      <c r="AE13" s="6">
        <f t="shared" si="7"/>
        <v>-5.5489401371394536</v>
      </c>
      <c r="AF13" s="6">
        <f t="shared" si="7"/>
        <v>-16.150372878846767</v>
      </c>
      <c r="AG13" s="6">
        <f t="shared" si="7"/>
        <v>-59.593893637051671</v>
      </c>
      <c r="AH13" s="6">
        <f t="shared" si="7"/>
        <v>-41.319961921018944</v>
      </c>
      <c r="AI13" s="6">
        <f t="shared" si="7"/>
        <v>-34.517079331808304</v>
      </c>
      <c r="AJ13" s="6">
        <f t="shared" si="7"/>
        <v>-24.870017331022538</v>
      </c>
      <c r="AK13" s="6">
        <f t="shared" si="7"/>
        <v>-20.817314319849274</v>
      </c>
      <c r="AL13" s="6">
        <f t="shared" si="7"/>
        <v>-5.6876994338651627</v>
      </c>
      <c r="AM13" s="6">
        <f t="shared" si="7"/>
        <v>1.9091274162563536</v>
      </c>
      <c r="AN13" s="6">
        <f t="shared" si="7"/>
        <v>-6.4465904112217913</v>
      </c>
      <c r="AO13" s="6">
        <f t="shared" si="7"/>
        <v>9.4064271129515475</v>
      </c>
      <c r="AP13" s="6">
        <f t="shared" si="7"/>
        <v>6.1047809000967561</v>
      </c>
      <c r="AQ13" s="6">
        <f t="shared" si="7"/>
        <v>12.481252867492003</v>
      </c>
      <c r="AR13" s="6">
        <f t="shared" si="7"/>
        <v>13.724624727350303</v>
      </c>
      <c r="AS13" s="6">
        <f t="shared" si="7"/>
        <v>165.29704146337008</v>
      </c>
      <c r="AT13" s="6">
        <f t="shared" si="7"/>
        <v>74.041296284900739</v>
      </c>
      <c r="AU13" s="6">
        <f t="shared" si="7"/>
        <v>67.467246668239767</v>
      </c>
      <c r="AV13" s="6">
        <f t="shared" si="7"/>
        <v>76.783828082316518</v>
      </c>
      <c r="AW13" s="6">
        <f t="shared" si="7"/>
        <v>72.930207366140507</v>
      </c>
      <c r="AX13" s="6">
        <f t="shared" si="7"/>
        <v>29.554572799385312</v>
      </c>
      <c r="AY13" s="6">
        <f t="shared" si="7"/>
        <v>14.956724863855513</v>
      </c>
      <c r="AZ13" s="6">
        <f t="shared" si="7"/>
        <v>6.3338661547452659</v>
      </c>
      <c r="BA13" s="6">
        <f t="shared" si="7"/>
        <v>-23.142733801656135</v>
      </c>
      <c r="BB13" s="6">
        <f t="shared" si="7"/>
        <v>-24.201941545196021</v>
      </c>
      <c r="BC13" s="6">
        <f t="shared" si="7"/>
        <v>-20.166171944088347</v>
      </c>
      <c r="BD13" s="6">
        <f t="shared" si="7"/>
        <v>-23.667936684541786</v>
      </c>
      <c r="BE13" s="6">
        <f t="shared" si="7"/>
        <v>-8.1850962780301444</v>
      </c>
      <c r="BF13" s="6">
        <f t="shared" si="7"/>
        <v>-3.8391442282657948</v>
      </c>
      <c r="BG13" s="6">
        <f t="shared" si="7"/>
        <v>-13.278952656341886</v>
      </c>
      <c r="BK13" s="6">
        <f>+BK12/BJ12*100-100</f>
        <v>-0.72749695709013906</v>
      </c>
      <c r="BL13" s="6">
        <f>+BL12/BK12*100-100</f>
        <v>-17.802021221626944</v>
      </c>
      <c r="BM13" s="6">
        <f>+BM12/BL12*100-100</f>
        <v>31.763709610272144</v>
      </c>
      <c r="BU13" s="2">
        <v>7</v>
      </c>
      <c r="BV13" s="2">
        <f t="shared" si="4"/>
        <v>0</v>
      </c>
      <c r="BW13" s="24">
        <f t="shared" si="5"/>
        <v>0</v>
      </c>
    </row>
    <row r="14" spans="1:75" x14ac:dyDescent="0.3">
      <c r="D14" s="2" t="s">
        <v>18</v>
      </c>
      <c r="E14" s="4">
        <f>+COUNTA(F2:BA2)*8</f>
        <v>384</v>
      </c>
      <c r="BU14" s="2">
        <v>8</v>
      </c>
      <c r="BV14" s="2">
        <f t="shared" si="4"/>
        <v>0</v>
      </c>
      <c r="BW14" s="24">
        <f t="shared" si="5"/>
        <v>0</v>
      </c>
    </row>
    <row r="39" spans="1:65" x14ac:dyDescent="0.3">
      <c r="F39" s="7">
        <v>6</v>
      </c>
      <c r="G39" s="7">
        <f>+F39+1</f>
        <v>7</v>
      </c>
      <c r="H39" s="7">
        <f t="shared" ref="H39:BG39" si="8">+G39+1</f>
        <v>8</v>
      </c>
      <c r="I39" s="7">
        <f t="shared" si="8"/>
        <v>9</v>
      </c>
      <c r="J39" s="7">
        <f t="shared" si="8"/>
        <v>10</v>
      </c>
      <c r="K39" s="7">
        <f t="shared" si="8"/>
        <v>11</v>
      </c>
      <c r="L39" s="7">
        <f t="shared" si="8"/>
        <v>12</v>
      </c>
      <c r="M39" s="7">
        <f t="shared" si="8"/>
        <v>13</v>
      </c>
      <c r="N39" s="7">
        <f t="shared" si="8"/>
        <v>14</v>
      </c>
      <c r="O39" s="7">
        <f t="shared" si="8"/>
        <v>15</v>
      </c>
      <c r="P39" s="7">
        <f t="shared" si="8"/>
        <v>16</v>
      </c>
      <c r="Q39" s="7">
        <f t="shared" si="8"/>
        <v>17</v>
      </c>
      <c r="R39" s="7">
        <f t="shared" si="8"/>
        <v>18</v>
      </c>
      <c r="S39" s="7">
        <f t="shared" si="8"/>
        <v>19</v>
      </c>
      <c r="T39" s="7">
        <f t="shared" si="8"/>
        <v>20</v>
      </c>
      <c r="U39" s="7">
        <f t="shared" si="8"/>
        <v>21</v>
      </c>
      <c r="V39" s="7">
        <f t="shared" si="8"/>
        <v>22</v>
      </c>
      <c r="W39" s="7">
        <f t="shared" si="8"/>
        <v>23</v>
      </c>
      <c r="X39" s="7">
        <f t="shared" si="8"/>
        <v>24</v>
      </c>
      <c r="Y39" s="7">
        <f t="shared" si="8"/>
        <v>25</v>
      </c>
      <c r="Z39" s="7">
        <f t="shared" si="8"/>
        <v>26</v>
      </c>
      <c r="AA39" s="7">
        <f t="shared" si="8"/>
        <v>27</v>
      </c>
      <c r="AB39" s="7">
        <f t="shared" si="8"/>
        <v>28</v>
      </c>
      <c r="AC39" s="7">
        <f t="shared" si="8"/>
        <v>29</v>
      </c>
      <c r="AD39" s="7">
        <f t="shared" si="8"/>
        <v>30</v>
      </c>
      <c r="AE39" s="7">
        <f t="shared" si="8"/>
        <v>31</v>
      </c>
      <c r="AF39" s="7">
        <f t="shared" si="8"/>
        <v>32</v>
      </c>
      <c r="AG39" s="7">
        <f t="shared" si="8"/>
        <v>33</v>
      </c>
      <c r="AH39" s="7">
        <f t="shared" si="8"/>
        <v>34</v>
      </c>
      <c r="AI39" s="7">
        <f t="shared" si="8"/>
        <v>35</v>
      </c>
      <c r="AJ39" s="7">
        <f t="shared" si="8"/>
        <v>36</v>
      </c>
      <c r="AK39" s="7">
        <f t="shared" si="8"/>
        <v>37</v>
      </c>
      <c r="AL39" s="7">
        <f t="shared" si="8"/>
        <v>38</v>
      </c>
      <c r="AM39" s="7">
        <f t="shared" si="8"/>
        <v>39</v>
      </c>
      <c r="AN39" s="7">
        <f t="shared" si="8"/>
        <v>40</v>
      </c>
      <c r="AO39" s="7">
        <f t="shared" si="8"/>
        <v>41</v>
      </c>
      <c r="AP39" s="7">
        <f t="shared" si="8"/>
        <v>42</v>
      </c>
      <c r="AQ39" s="7">
        <f t="shared" si="8"/>
        <v>43</v>
      </c>
      <c r="AR39" s="7">
        <f t="shared" si="8"/>
        <v>44</v>
      </c>
      <c r="AS39" s="7">
        <f t="shared" si="8"/>
        <v>45</v>
      </c>
      <c r="AT39" s="7">
        <f t="shared" si="8"/>
        <v>46</v>
      </c>
      <c r="AU39" s="7">
        <f t="shared" si="8"/>
        <v>47</v>
      </c>
      <c r="AV39" s="7">
        <f t="shared" si="8"/>
        <v>48</v>
      </c>
      <c r="AW39" s="7">
        <f t="shared" si="8"/>
        <v>49</v>
      </c>
      <c r="AX39" s="7">
        <f t="shared" si="8"/>
        <v>50</v>
      </c>
      <c r="AY39" s="7">
        <f t="shared" si="8"/>
        <v>51</v>
      </c>
      <c r="AZ39" s="7">
        <f t="shared" si="8"/>
        <v>52</v>
      </c>
      <c r="BA39" s="7">
        <f t="shared" si="8"/>
        <v>53</v>
      </c>
      <c r="BB39" s="7">
        <f t="shared" si="8"/>
        <v>54</v>
      </c>
      <c r="BC39" s="7">
        <f t="shared" si="8"/>
        <v>55</v>
      </c>
      <c r="BD39" s="7">
        <f t="shared" si="8"/>
        <v>56</v>
      </c>
      <c r="BE39" s="7">
        <f t="shared" si="8"/>
        <v>57</v>
      </c>
      <c r="BF39" s="7">
        <f t="shared" si="8"/>
        <v>58</v>
      </c>
      <c r="BG39" s="7">
        <f t="shared" si="8"/>
        <v>59</v>
      </c>
    </row>
    <row r="40" spans="1:65" x14ac:dyDescent="0.3">
      <c r="D40" s="2" t="s">
        <v>19</v>
      </c>
      <c r="E40" s="8">
        <v>6</v>
      </c>
      <c r="F40" s="3">
        <f t="shared" ref="F40:AK40" si="9">+VLOOKUP($E40,$A$3:$BG$10,F39,0)</f>
        <v>5424</v>
      </c>
      <c r="G40" s="3">
        <f t="shared" si="9"/>
        <v>6340</v>
      </c>
      <c r="H40" s="3">
        <f t="shared" si="9"/>
        <v>1551</v>
      </c>
      <c r="I40" s="3">
        <f t="shared" si="9"/>
        <v>1159</v>
      </c>
      <c r="J40" s="3">
        <f t="shared" si="9"/>
        <v>6228</v>
      </c>
      <c r="K40" s="3">
        <f t="shared" si="9"/>
        <v>5833</v>
      </c>
      <c r="L40" s="3">
        <f t="shared" si="9"/>
        <v>2535</v>
      </c>
      <c r="M40" s="3">
        <f t="shared" si="9"/>
        <v>0</v>
      </c>
      <c r="N40" s="3">
        <f t="shared" si="9"/>
        <v>5139</v>
      </c>
      <c r="O40" s="3">
        <f t="shared" si="9"/>
        <v>6159</v>
      </c>
      <c r="P40" s="3">
        <f t="shared" si="9"/>
        <v>5736</v>
      </c>
      <c r="Q40" s="3">
        <f t="shared" si="9"/>
        <v>3789</v>
      </c>
      <c r="R40" s="3">
        <f t="shared" si="9"/>
        <v>4042</v>
      </c>
      <c r="S40" s="3">
        <f t="shared" si="9"/>
        <v>5284</v>
      </c>
      <c r="T40" s="3">
        <f t="shared" si="9"/>
        <v>5661</v>
      </c>
      <c r="U40" s="3">
        <f t="shared" si="9"/>
        <v>4344</v>
      </c>
      <c r="V40" s="3">
        <f t="shared" si="9"/>
        <v>5284</v>
      </c>
      <c r="W40" s="3">
        <f t="shared" si="9"/>
        <v>4864</v>
      </c>
      <c r="X40" s="3">
        <f t="shared" si="9"/>
        <v>4864</v>
      </c>
      <c r="Y40" s="3">
        <f t="shared" si="9"/>
        <v>1321</v>
      </c>
      <c r="Z40" s="3">
        <f t="shared" si="9"/>
        <v>6831</v>
      </c>
      <c r="AA40" s="3">
        <f t="shared" si="9"/>
        <v>7532</v>
      </c>
      <c r="AB40" s="3">
        <f t="shared" si="9"/>
        <v>4754</v>
      </c>
      <c r="AC40" s="3">
        <f t="shared" si="9"/>
        <v>3779</v>
      </c>
      <c r="AD40" s="3">
        <f t="shared" si="9"/>
        <v>5990</v>
      </c>
      <c r="AE40" s="3">
        <f t="shared" si="9"/>
        <v>5990</v>
      </c>
      <c r="AF40" s="3">
        <f t="shared" si="9"/>
        <v>5990</v>
      </c>
      <c r="AG40" s="3">
        <f t="shared" si="9"/>
        <v>2364</v>
      </c>
      <c r="AH40" s="3">
        <f t="shared" si="9"/>
        <v>4645</v>
      </c>
      <c r="AI40" s="3">
        <f t="shared" si="9"/>
        <v>4887</v>
      </c>
      <c r="AJ40" s="3">
        <f t="shared" si="9"/>
        <v>1807</v>
      </c>
      <c r="AK40" s="3">
        <f t="shared" si="9"/>
        <v>248</v>
      </c>
      <c r="AL40" s="3">
        <f t="shared" ref="AL40:BG40" si="10">+VLOOKUP($E40,$A$3:$BG$10,AL39,0)</f>
        <v>5978</v>
      </c>
      <c r="AM40" s="3">
        <f t="shared" si="10"/>
        <v>6797</v>
      </c>
      <c r="AN40" s="3">
        <f t="shared" si="10"/>
        <v>5719</v>
      </c>
      <c r="AO40" s="3">
        <f t="shared" si="10"/>
        <v>3630</v>
      </c>
      <c r="AP40" s="3">
        <f t="shared" si="10"/>
        <v>2400</v>
      </c>
      <c r="AQ40" s="3">
        <f t="shared" si="10"/>
        <v>5931</v>
      </c>
      <c r="AR40" s="3">
        <f t="shared" si="10"/>
        <v>5741</v>
      </c>
      <c r="AS40" s="3">
        <f t="shared" si="10"/>
        <v>3859</v>
      </c>
      <c r="AT40" s="3">
        <f t="shared" si="10"/>
        <v>4023</v>
      </c>
      <c r="AU40" s="3">
        <f t="shared" si="10"/>
        <v>6005</v>
      </c>
      <c r="AV40" s="3">
        <f t="shared" si="10"/>
        <v>6674</v>
      </c>
      <c r="AW40" s="3">
        <f t="shared" si="10"/>
        <v>799</v>
      </c>
      <c r="AX40" s="3">
        <f t="shared" si="10"/>
        <v>6820</v>
      </c>
      <c r="AY40" s="3">
        <f t="shared" si="10"/>
        <v>5913</v>
      </c>
      <c r="AZ40" s="3">
        <f t="shared" si="10"/>
        <v>6262</v>
      </c>
      <c r="BA40" s="3">
        <f t="shared" si="10"/>
        <v>6262</v>
      </c>
      <c r="BB40" s="3">
        <f t="shared" si="10"/>
        <v>4670</v>
      </c>
      <c r="BC40" s="3">
        <f t="shared" si="10"/>
        <v>6578</v>
      </c>
      <c r="BD40" s="3">
        <f t="shared" si="10"/>
        <v>6279</v>
      </c>
      <c r="BE40" s="3">
        <f t="shared" si="10"/>
        <v>3726</v>
      </c>
      <c r="BF40" s="3">
        <f t="shared" si="10"/>
        <v>6620</v>
      </c>
      <c r="BG40" s="3">
        <f t="shared" si="10"/>
        <v>5863</v>
      </c>
      <c r="BJ40" s="3">
        <f>+SUM(F40:Q40)</f>
        <v>49893</v>
      </c>
      <c r="BK40" s="3">
        <f>+SUM(R40:AC40)</f>
        <v>58560</v>
      </c>
      <c r="BL40" s="3">
        <f>+SUM(AD40:AO40)</f>
        <v>54045</v>
      </c>
      <c r="BM40" s="3">
        <f>+SUM(AP40:BA40)</f>
        <v>60689</v>
      </c>
    </row>
    <row r="41" spans="1:65" x14ac:dyDescent="0.3">
      <c r="BK41" s="6">
        <f>+BK40/BJ40*100-100</f>
        <v>17.371174313029883</v>
      </c>
      <c r="BL41" s="6">
        <f>+BL40/BK40*100-100</f>
        <v>-7.7100409836065609</v>
      </c>
      <c r="BM41" s="6">
        <f>+BM40/BL40*100-100</f>
        <v>12.293459154408353</v>
      </c>
    </row>
    <row r="43" spans="1:65" x14ac:dyDescent="0.3">
      <c r="A43" s="34" t="s">
        <v>32</v>
      </c>
      <c r="B43" s="34"/>
      <c r="C43" s="34"/>
      <c r="D43" s="34"/>
      <c r="E43" s="2">
        <f>+COUNTIF(F40:BG40,0)</f>
        <v>1</v>
      </c>
    </row>
    <row r="75" spans="61:61" x14ac:dyDescent="0.3">
      <c r="BI75" s="2" t="s">
        <v>34</v>
      </c>
    </row>
  </sheetData>
  <mergeCells count="1">
    <mergeCell ref="A43:D43"/>
  </mergeCells>
  <conditionalFormatting sqref="BV7:BV1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{27FA3D02-12C2-406C-8B3D-A3A487D5F036}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FA3D02-12C2-406C-8B3D-A3A487D5F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BV7:BV14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5741-EF6D-42A8-911B-210423FA2A1D}">
  <dimension ref="A1:F43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sheetData>
    <row r="1" spans="1:6" x14ac:dyDescent="0.3">
      <c r="A1" t="s">
        <v>98</v>
      </c>
      <c r="B1" t="s">
        <v>99</v>
      </c>
      <c r="C1" t="s">
        <v>97</v>
      </c>
      <c r="D1" t="s">
        <v>79</v>
      </c>
      <c r="E1" t="s">
        <v>81</v>
      </c>
      <c r="F1" t="s">
        <v>109</v>
      </c>
    </row>
    <row r="2" spans="1:6" x14ac:dyDescent="0.3">
      <c r="A2">
        <v>2018</v>
      </c>
      <c r="B2">
        <v>1</v>
      </c>
      <c r="C2">
        <v>1235</v>
      </c>
      <c r="D2">
        <v>43.0349</v>
      </c>
      <c r="E2">
        <v>-3.0013100000000001</v>
      </c>
      <c r="F2">
        <v>7779</v>
      </c>
    </row>
    <row r="3" spans="1:6" x14ac:dyDescent="0.3">
      <c r="A3">
        <v>2018</v>
      </c>
      <c r="B3">
        <v>2</v>
      </c>
      <c r="C3">
        <v>1235</v>
      </c>
      <c r="D3">
        <v>43.0349</v>
      </c>
      <c r="E3">
        <v>-3.0013100000000001</v>
      </c>
      <c r="F3">
        <v>8650</v>
      </c>
    </row>
    <row r="4" spans="1:6" x14ac:dyDescent="0.3">
      <c r="A4">
        <v>2018</v>
      </c>
      <c r="B4">
        <v>3</v>
      </c>
      <c r="C4">
        <v>1235</v>
      </c>
      <c r="D4">
        <v>43.0349</v>
      </c>
      <c r="E4">
        <v>-3.0013100000000001</v>
      </c>
      <c r="F4">
        <v>8838</v>
      </c>
    </row>
    <row r="5" spans="1:6" x14ac:dyDescent="0.3">
      <c r="A5">
        <v>2018</v>
      </c>
      <c r="B5">
        <v>4</v>
      </c>
      <c r="C5">
        <v>1235</v>
      </c>
      <c r="D5">
        <v>43.0349</v>
      </c>
      <c r="E5">
        <v>-3.0013100000000001</v>
      </c>
      <c r="F5">
        <v>8262</v>
      </c>
    </row>
    <row r="6" spans="1:6" x14ac:dyDescent="0.3">
      <c r="A6">
        <v>2018</v>
      </c>
      <c r="B6">
        <v>5</v>
      </c>
      <c r="C6">
        <v>1235</v>
      </c>
      <c r="D6">
        <v>43.0349</v>
      </c>
      <c r="E6">
        <v>-3.0013100000000001</v>
      </c>
      <c r="F6">
        <v>9589</v>
      </c>
    </row>
    <row r="7" spans="1:6" x14ac:dyDescent="0.3">
      <c r="A7">
        <v>2018</v>
      </c>
      <c r="B7">
        <v>6</v>
      </c>
      <c r="C7">
        <v>1235</v>
      </c>
      <c r="D7">
        <v>43.0349</v>
      </c>
      <c r="E7">
        <v>-3.0013100000000001</v>
      </c>
      <c r="F7">
        <v>7861</v>
      </c>
    </row>
    <row r="8" spans="1:6" x14ac:dyDescent="0.3">
      <c r="A8">
        <v>2018</v>
      </c>
      <c r="B8">
        <v>7</v>
      </c>
      <c r="C8">
        <v>1235</v>
      </c>
      <c r="D8">
        <v>43.0349</v>
      </c>
      <c r="E8">
        <v>-3.0013100000000001</v>
      </c>
      <c r="F8">
        <v>7833</v>
      </c>
    </row>
    <row r="9" spans="1:6" x14ac:dyDescent="0.3">
      <c r="A9">
        <v>2018</v>
      </c>
      <c r="B9">
        <v>8</v>
      </c>
      <c r="C9">
        <v>1235</v>
      </c>
      <c r="D9">
        <v>43.0349</v>
      </c>
      <c r="E9">
        <v>-3.0013100000000001</v>
      </c>
      <c r="F9">
        <v>0</v>
      </c>
    </row>
    <row r="10" spans="1:6" x14ac:dyDescent="0.3">
      <c r="A10">
        <v>2018</v>
      </c>
      <c r="B10">
        <v>9</v>
      </c>
      <c r="C10">
        <v>1235</v>
      </c>
      <c r="D10">
        <v>43.0349</v>
      </c>
      <c r="E10">
        <v>-3.0013100000000001</v>
      </c>
      <c r="F10">
        <v>7393</v>
      </c>
    </row>
    <row r="11" spans="1:6" x14ac:dyDescent="0.3">
      <c r="A11">
        <v>2018</v>
      </c>
      <c r="B11">
        <v>10</v>
      </c>
      <c r="C11">
        <v>1235</v>
      </c>
      <c r="D11">
        <v>43.0349</v>
      </c>
      <c r="E11">
        <v>-3.0013100000000001</v>
      </c>
      <c r="F11">
        <v>7848</v>
      </c>
    </row>
    <row r="12" spans="1:6" x14ac:dyDescent="0.3">
      <c r="A12">
        <v>2018</v>
      </c>
      <c r="B12">
        <v>11</v>
      </c>
      <c r="C12">
        <v>1235</v>
      </c>
      <c r="D12">
        <v>43.0349</v>
      </c>
      <c r="E12">
        <v>-3.0013100000000001</v>
      </c>
      <c r="F12">
        <v>7171</v>
      </c>
    </row>
    <row r="13" spans="1:6" x14ac:dyDescent="0.3">
      <c r="A13">
        <v>2018</v>
      </c>
      <c r="B13">
        <v>12</v>
      </c>
      <c r="C13">
        <v>1235</v>
      </c>
      <c r="D13">
        <v>43.0349</v>
      </c>
      <c r="E13">
        <v>-3.0013100000000001</v>
      </c>
      <c r="F13">
        <v>4649</v>
      </c>
    </row>
    <row r="14" spans="1:6" x14ac:dyDescent="0.3">
      <c r="A14">
        <v>2019</v>
      </c>
      <c r="B14">
        <v>1</v>
      </c>
      <c r="C14">
        <v>1235</v>
      </c>
      <c r="D14">
        <v>43.0349</v>
      </c>
      <c r="E14">
        <v>-3.0013100000000001</v>
      </c>
      <c r="F14">
        <v>7779</v>
      </c>
    </row>
    <row r="15" spans="1:6" x14ac:dyDescent="0.3">
      <c r="A15">
        <v>2019</v>
      </c>
      <c r="B15">
        <v>2</v>
      </c>
      <c r="C15">
        <v>1235</v>
      </c>
      <c r="D15">
        <v>43.0349</v>
      </c>
      <c r="E15">
        <v>-3.0013100000000001</v>
      </c>
      <c r="F15">
        <v>7648</v>
      </c>
    </row>
    <row r="16" spans="1:6" x14ac:dyDescent="0.3">
      <c r="A16">
        <v>2019</v>
      </c>
      <c r="B16">
        <v>3</v>
      </c>
      <c r="C16">
        <v>1235</v>
      </c>
      <c r="D16">
        <v>43.0349</v>
      </c>
      <c r="E16">
        <v>-3.0013100000000001</v>
      </c>
      <c r="F16">
        <v>7352</v>
      </c>
    </row>
    <row r="17" spans="1:6" x14ac:dyDescent="0.3">
      <c r="A17">
        <v>2019</v>
      </c>
      <c r="B17">
        <v>4</v>
      </c>
      <c r="C17">
        <v>1235</v>
      </c>
      <c r="D17">
        <v>43.0349</v>
      </c>
      <c r="E17">
        <v>-3.0013100000000001</v>
      </c>
      <c r="F17">
        <v>7422</v>
      </c>
    </row>
    <row r="18" spans="1:6" x14ac:dyDescent="0.3">
      <c r="A18">
        <v>2019</v>
      </c>
      <c r="B18">
        <v>5</v>
      </c>
      <c r="C18">
        <v>1235</v>
      </c>
      <c r="D18">
        <v>43.0349</v>
      </c>
      <c r="E18">
        <v>-3.0013100000000001</v>
      </c>
      <c r="F18">
        <v>9901</v>
      </c>
    </row>
    <row r="19" spans="1:6" x14ac:dyDescent="0.3">
      <c r="A19">
        <v>2019</v>
      </c>
      <c r="B19">
        <v>6</v>
      </c>
      <c r="C19">
        <v>1235</v>
      </c>
      <c r="D19">
        <v>43.0349</v>
      </c>
      <c r="E19">
        <v>-3.0013100000000001</v>
      </c>
      <c r="F19">
        <v>8919</v>
      </c>
    </row>
    <row r="20" spans="1:6" x14ac:dyDescent="0.3">
      <c r="A20">
        <v>2019</v>
      </c>
      <c r="B20">
        <v>7</v>
      </c>
      <c r="C20">
        <v>1235</v>
      </c>
      <c r="D20">
        <v>43.0349</v>
      </c>
      <c r="E20">
        <v>-3.0013100000000001</v>
      </c>
      <c r="F20">
        <v>8043</v>
      </c>
    </row>
    <row r="21" spans="1:6" x14ac:dyDescent="0.3">
      <c r="A21">
        <v>2019</v>
      </c>
      <c r="B21">
        <v>8</v>
      </c>
      <c r="C21">
        <v>1235</v>
      </c>
      <c r="D21">
        <v>43.0349</v>
      </c>
      <c r="E21">
        <v>-3.0013100000000001</v>
      </c>
      <c r="F21">
        <v>0</v>
      </c>
    </row>
    <row r="22" spans="1:6" x14ac:dyDescent="0.3">
      <c r="A22">
        <v>2019</v>
      </c>
      <c r="B22">
        <v>9</v>
      </c>
      <c r="C22">
        <v>1235</v>
      </c>
      <c r="D22">
        <v>43.0349</v>
      </c>
      <c r="E22">
        <v>-3.0013100000000001</v>
      </c>
      <c r="F22">
        <v>8480</v>
      </c>
    </row>
    <row r="23" spans="1:6" x14ac:dyDescent="0.3">
      <c r="A23">
        <v>2019</v>
      </c>
      <c r="B23">
        <v>10</v>
      </c>
      <c r="C23">
        <v>1235</v>
      </c>
      <c r="D23">
        <v>43.0349</v>
      </c>
      <c r="E23">
        <v>-3.0013100000000001</v>
      </c>
      <c r="F23">
        <v>7440</v>
      </c>
    </row>
    <row r="24" spans="1:6" x14ac:dyDescent="0.3">
      <c r="A24">
        <v>2019</v>
      </c>
      <c r="B24">
        <v>11</v>
      </c>
      <c r="C24">
        <v>1235</v>
      </c>
      <c r="D24">
        <v>43.0349</v>
      </c>
      <c r="E24">
        <v>-3.0013100000000001</v>
      </c>
      <c r="F24">
        <v>6916</v>
      </c>
    </row>
    <row r="25" spans="1:6" x14ac:dyDescent="0.3">
      <c r="A25">
        <v>2019</v>
      </c>
      <c r="B25">
        <v>12</v>
      </c>
      <c r="C25">
        <v>1235</v>
      </c>
      <c r="D25">
        <v>43.0349</v>
      </c>
      <c r="E25">
        <v>-3.0013100000000001</v>
      </c>
      <c r="F25">
        <v>3999</v>
      </c>
    </row>
    <row r="26" spans="1:6" x14ac:dyDescent="0.3">
      <c r="A26">
        <v>2020</v>
      </c>
      <c r="B26">
        <v>1</v>
      </c>
      <c r="C26">
        <v>1235</v>
      </c>
      <c r="D26">
        <v>43.0349</v>
      </c>
      <c r="E26">
        <v>-3.0013100000000001</v>
      </c>
      <c r="F26">
        <v>6358</v>
      </c>
    </row>
    <row r="27" spans="1:6" x14ac:dyDescent="0.3">
      <c r="A27">
        <v>2020</v>
      </c>
      <c r="B27">
        <v>2</v>
      </c>
      <c r="C27">
        <v>1235</v>
      </c>
      <c r="D27">
        <v>43.0349</v>
      </c>
      <c r="E27">
        <v>-3.0013100000000001</v>
      </c>
      <c r="F27">
        <v>6515</v>
      </c>
    </row>
    <row r="28" spans="1:6" x14ac:dyDescent="0.3">
      <c r="A28">
        <v>2020</v>
      </c>
      <c r="B28">
        <v>3</v>
      </c>
      <c r="C28">
        <v>1235</v>
      </c>
      <c r="D28">
        <v>43.0349</v>
      </c>
      <c r="E28">
        <v>-3.0013100000000001</v>
      </c>
      <c r="F28">
        <v>7352</v>
      </c>
    </row>
    <row r="29" spans="1:6" x14ac:dyDescent="0.3">
      <c r="A29">
        <v>2020</v>
      </c>
      <c r="B29">
        <v>4</v>
      </c>
      <c r="C29">
        <v>1235</v>
      </c>
      <c r="D29">
        <v>43.0349</v>
      </c>
      <c r="E29">
        <v>-3.0013100000000001</v>
      </c>
      <c r="F29">
        <v>4412</v>
      </c>
    </row>
    <row r="30" spans="1:6" x14ac:dyDescent="0.3">
      <c r="A30">
        <v>2020</v>
      </c>
      <c r="B30">
        <v>5</v>
      </c>
      <c r="C30">
        <v>1235</v>
      </c>
      <c r="D30">
        <v>43.0349</v>
      </c>
      <c r="E30">
        <v>-3.0013100000000001</v>
      </c>
      <c r="F30">
        <v>3098</v>
      </c>
    </row>
    <row r="31" spans="1:6" x14ac:dyDescent="0.3">
      <c r="A31">
        <v>2020</v>
      </c>
      <c r="B31">
        <v>6</v>
      </c>
      <c r="C31">
        <v>1235</v>
      </c>
      <c r="D31">
        <v>43.0349</v>
      </c>
      <c r="E31">
        <v>-3.0013100000000001</v>
      </c>
      <c r="F31">
        <v>3584</v>
      </c>
    </row>
    <row r="32" spans="1:6" x14ac:dyDescent="0.3">
      <c r="A32">
        <v>2020</v>
      </c>
      <c r="B32">
        <v>7</v>
      </c>
      <c r="C32">
        <v>1235</v>
      </c>
      <c r="D32">
        <v>43.0349</v>
      </c>
      <c r="E32">
        <v>-3.0013100000000001</v>
      </c>
      <c r="F32">
        <v>5631</v>
      </c>
    </row>
    <row r="33" spans="1:6" x14ac:dyDescent="0.3">
      <c r="A33">
        <v>2020</v>
      </c>
      <c r="B33">
        <v>8</v>
      </c>
      <c r="C33">
        <v>1235</v>
      </c>
      <c r="D33">
        <v>43.0349</v>
      </c>
      <c r="E33">
        <v>-3.0013100000000001</v>
      </c>
      <c r="F33">
        <v>0</v>
      </c>
    </row>
    <row r="34" spans="1:6" x14ac:dyDescent="0.3">
      <c r="A34">
        <v>2020</v>
      </c>
      <c r="B34">
        <v>9</v>
      </c>
      <c r="C34">
        <v>1235</v>
      </c>
      <c r="D34">
        <v>43.0349</v>
      </c>
      <c r="E34">
        <v>-3.0013100000000001</v>
      </c>
      <c r="F34">
        <v>8480</v>
      </c>
    </row>
    <row r="35" spans="1:6" x14ac:dyDescent="0.3">
      <c r="A35">
        <v>2020</v>
      </c>
      <c r="B35">
        <v>10</v>
      </c>
      <c r="C35">
        <v>1235</v>
      </c>
      <c r="D35">
        <v>43.0349</v>
      </c>
      <c r="E35">
        <v>-3.0013100000000001</v>
      </c>
      <c r="F35">
        <v>7440</v>
      </c>
    </row>
    <row r="36" spans="1:6" x14ac:dyDescent="0.3">
      <c r="A36">
        <v>2020</v>
      </c>
      <c r="B36">
        <v>11</v>
      </c>
      <c r="C36">
        <v>1235</v>
      </c>
      <c r="D36">
        <v>43.0349</v>
      </c>
      <c r="E36">
        <v>-3.0013100000000001</v>
      </c>
      <c r="F36">
        <v>7440</v>
      </c>
    </row>
    <row r="37" spans="1:6" x14ac:dyDescent="0.3">
      <c r="A37">
        <v>2020</v>
      </c>
      <c r="B37">
        <v>12</v>
      </c>
      <c r="C37">
        <v>1235</v>
      </c>
      <c r="D37">
        <v>43.0349</v>
      </c>
      <c r="E37">
        <v>-3.0013100000000001</v>
      </c>
      <c r="F37">
        <v>7440</v>
      </c>
    </row>
    <row r="38" spans="1:6" x14ac:dyDescent="0.3">
      <c r="A38">
        <v>2021</v>
      </c>
      <c r="B38">
        <v>1</v>
      </c>
      <c r="C38">
        <v>1235</v>
      </c>
      <c r="D38">
        <v>43.0349</v>
      </c>
      <c r="E38">
        <v>-3.0013100000000001</v>
      </c>
      <c r="F38">
        <v>7440</v>
      </c>
    </row>
    <row r="39" spans="1:6" x14ac:dyDescent="0.3">
      <c r="A39">
        <v>2021</v>
      </c>
      <c r="B39">
        <v>2</v>
      </c>
      <c r="C39">
        <v>1235</v>
      </c>
      <c r="D39">
        <v>43.0349</v>
      </c>
      <c r="E39">
        <v>-3.0013100000000001</v>
      </c>
      <c r="F39">
        <v>7440</v>
      </c>
    </row>
    <row r="40" spans="1:6" x14ac:dyDescent="0.3">
      <c r="A40">
        <v>2021</v>
      </c>
      <c r="B40">
        <v>3</v>
      </c>
      <c r="C40">
        <v>1235</v>
      </c>
      <c r="D40">
        <v>43.0349</v>
      </c>
      <c r="E40">
        <v>-3.0013100000000001</v>
      </c>
      <c r="F40">
        <v>4648</v>
      </c>
    </row>
    <row r="41" spans="1:6" x14ac:dyDescent="0.3">
      <c r="A41">
        <v>2021</v>
      </c>
      <c r="B41">
        <v>4</v>
      </c>
      <c r="C41">
        <v>1235</v>
      </c>
      <c r="D41">
        <v>43.0349</v>
      </c>
      <c r="E41">
        <v>-3.0013100000000001</v>
      </c>
      <c r="F41">
        <v>0</v>
      </c>
    </row>
    <row r="42" spans="1:6" x14ac:dyDescent="0.3">
      <c r="A42">
        <v>2021</v>
      </c>
      <c r="B42">
        <v>5</v>
      </c>
      <c r="C42">
        <v>1235</v>
      </c>
      <c r="D42">
        <v>43.0349</v>
      </c>
      <c r="E42">
        <v>-3.0013100000000001</v>
      </c>
      <c r="F42">
        <v>0</v>
      </c>
    </row>
    <row r="43" spans="1:6" x14ac:dyDescent="0.3">
      <c r="A43">
        <v>2021</v>
      </c>
      <c r="B43">
        <v>6</v>
      </c>
      <c r="C43">
        <v>1235</v>
      </c>
      <c r="D43">
        <v>43.0349</v>
      </c>
      <c r="E43">
        <v>-3.0013100000000001</v>
      </c>
      <c r="F43">
        <v>0</v>
      </c>
    </row>
    <row r="44" spans="1:6" x14ac:dyDescent="0.3">
      <c r="A44">
        <v>2021</v>
      </c>
      <c r="B44">
        <v>7</v>
      </c>
      <c r="C44">
        <v>1235</v>
      </c>
      <c r="D44">
        <v>43.0349</v>
      </c>
      <c r="E44">
        <v>-3.0013100000000001</v>
      </c>
      <c r="F44">
        <v>0</v>
      </c>
    </row>
    <row r="45" spans="1:6" x14ac:dyDescent="0.3">
      <c r="A45">
        <v>2021</v>
      </c>
      <c r="B45">
        <v>8</v>
      </c>
      <c r="C45">
        <v>1235</v>
      </c>
      <c r="D45">
        <v>43.0349</v>
      </c>
      <c r="E45">
        <v>-3.0013100000000001</v>
      </c>
      <c r="F45">
        <v>0</v>
      </c>
    </row>
    <row r="46" spans="1:6" x14ac:dyDescent="0.3">
      <c r="A46">
        <v>2021</v>
      </c>
      <c r="B46">
        <v>9</v>
      </c>
      <c r="C46">
        <v>1235</v>
      </c>
      <c r="D46">
        <v>43.0349</v>
      </c>
      <c r="E46">
        <v>-3.0013100000000001</v>
      </c>
      <c r="F46">
        <v>0</v>
      </c>
    </row>
    <row r="47" spans="1:6" x14ac:dyDescent="0.3">
      <c r="A47">
        <v>2021</v>
      </c>
      <c r="B47">
        <v>10</v>
      </c>
      <c r="C47">
        <v>1235</v>
      </c>
      <c r="D47">
        <v>43.0349</v>
      </c>
      <c r="E47">
        <v>-3.0013100000000001</v>
      </c>
      <c r="F47">
        <v>0</v>
      </c>
    </row>
    <row r="48" spans="1:6" x14ac:dyDescent="0.3">
      <c r="A48">
        <v>2021</v>
      </c>
      <c r="B48">
        <v>11</v>
      </c>
      <c r="C48">
        <v>1235</v>
      </c>
      <c r="D48">
        <v>43.0349</v>
      </c>
      <c r="E48">
        <v>-3.0013100000000001</v>
      </c>
      <c r="F48">
        <v>0</v>
      </c>
    </row>
    <row r="49" spans="1:6" x14ac:dyDescent="0.3">
      <c r="A49">
        <v>2021</v>
      </c>
      <c r="B49">
        <v>12</v>
      </c>
      <c r="C49">
        <v>1235</v>
      </c>
      <c r="D49">
        <v>43.0349</v>
      </c>
      <c r="E49">
        <v>-3.0013100000000001</v>
      </c>
      <c r="F49">
        <v>0</v>
      </c>
    </row>
    <row r="50" spans="1:6" x14ac:dyDescent="0.3">
      <c r="A50">
        <v>2022</v>
      </c>
      <c r="B50">
        <v>1</v>
      </c>
      <c r="C50">
        <v>1235</v>
      </c>
      <c r="D50">
        <v>43.0349</v>
      </c>
      <c r="E50">
        <v>-3.0013100000000001</v>
      </c>
      <c r="F50">
        <v>6087</v>
      </c>
    </row>
    <row r="51" spans="1:6" x14ac:dyDescent="0.3">
      <c r="A51">
        <v>2022</v>
      </c>
      <c r="B51">
        <v>2</v>
      </c>
      <c r="C51">
        <v>1235</v>
      </c>
      <c r="D51">
        <v>43.0349</v>
      </c>
      <c r="E51">
        <v>-3.0013100000000001</v>
      </c>
      <c r="F51">
        <v>5984</v>
      </c>
    </row>
    <row r="52" spans="1:6" x14ac:dyDescent="0.3">
      <c r="A52">
        <v>2022</v>
      </c>
      <c r="B52">
        <v>3</v>
      </c>
      <c r="C52">
        <v>1235</v>
      </c>
      <c r="D52">
        <v>43.0349</v>
      </c>
      <c r="E52">
        <v>-3.0013100000000001</v>
      </c>
      <c r="F52">
        <v>5753</v>
      </c>
    </row>
    <row r="53" spans="1:6" x14ac:dyDescent="0.3">
      <c r="A53">
        <v>2022</v>
      </c>
      <c r="B53">
        <v>4</v>
      </c>
      <c r="C53">
        <v>1235</v>
      </c>
      <c r="D53">
        <v>43.0349</v>
      </c>
      <c r="E53">
        <v>-3.0013100000000001</v>
      </c>
      <c r="F53">
        <v>5808</v>
      </c>
    </row>
    <row r="54" spans="1:6" x14ac:dyDescent="0.3">
      <c r="A54">
        <v>2022</v>
      </c>
      <c r="B54">
        <v>5</v>
      </c>
      <c r="C54">
        <v>1235</v>
      </c>
      <c r="D54">
        <v>43.0349</v>
      </c>
      <c r="E54">
        <v>-3.0013100000000001</v>
      </c>
      <c r="F54">
        <v>7747</v>
      </c>
    </row>
    <row r="55" spans="1:6" x14ac:dyDescent="0.3">
      <c r="A55">
        <v>2022</v>
      </c>
      <c r="B55">
        <v>6</v>
      </c>
      <c r="C55">
        <v>1235</v>
      </c>
      <c r="D55">
        <v>43.0349</v>
      </c>
      <c r="E55">
        <v>-3.0013100000000001</v>
      </c>
      <c r="F55">
        <v>6979</v>
      </c>
    </row>
    <row r="56" spans="1:6" x14ac:dyDescent="0.3">
      <c r="A56">
        <v>2018</v>
      </c>
      <c r="B56">
        <v>1</v>
      </c>
      <c r="C56">
        <v>1825</v>
      </c>
      <c r="D56">
        <v>43.295011000000002</v>
      </c>
      <c r="E56">
        <v>-2.91</v>
      </c>
      <c r="F56">
        <v>10511</v>
      </c>
    </row>
    <row r="57" spans="1:6" x14ac:dyDescent="0.3">
      <c r="A57">
        <v>2018</v>
      </c>
      <c r="B57">
        <v>2</v>
      </c>
      <c r="C57">
        <v>1825</v>
      </c>
      <c r="D57">
        <v>43.295011000000002</v>
      </c>
      <c r="E57">
        <v>-2.91</v>
      </c>
      <c r="F57">
        <v>10035</v>
      </c>
    </row>
    <row r="58" spans="1:6" x14ac:dyDescent="0.3">
      <c r="A58">
        <v>2018</v>
      </c>
      <c r="B58">
        <v>3</v>
      </c>
      <c r="C58">
        <v>1825</v>
      </c>
      <c r="D58">
        <v>43.295011000000002</v>
      </c>
      <c r="E58">
        <v>-2.91</v>
      </c>
      <c r="F58">
        <v>9363</v>
      </c>
    </row>
    <row r="59" spans="1:6" x14ac:dyDescent="0.3">
      <c r="A59">
        <v>2018</v>
      </c>
      <c r="B59">
        <v>4</v>
      </c>
      <c r="C59">
        <v>1825</v>
      </c>
      <c r="D59">
        <v>43.295011000000002</v>
      </c>
      <c r="E59">
        <v>-2.91</v>
      </c>
      <c r="F59">
        <v>9355</v>
      </c>
    </row>
    <row r="60" spans="1:6" x14ac:dyDescent="0.3">
      <c r="A60">
        <v>2018</v>
      </c>
      <c r="B60">
        <v>5</v>
      </c>
      <c r="C60">
        <v>1825</v>
      </c>
      <c r="D60">
        <v>43.295011000000002</v>
      </c>
      <c r="E60">
        <v>-2.91</v>
      </c>
      <c r="F60">
        <v>12406</v>
      </c>
    </row>
    <row r="61" spans="1:6" x14ac:dyDescent="0.3">
      <c r="A61">
        <v>2018</v>
      </c>
      <c r="B61">
        <v>6</v>
      </c>
      <c r="C61">
        <v>1825</v>
      </c>
      <c r="D61">
        <v>43.295011000000002</v>
      </c>
      <c r="E61">
        <v>-2.91</v>
      </c>
      <c r="F61">
        <v>10863</v>
      </c>
    </row>
    <row r="62" spans="1:6" x14ac:dyDescent="0.3">
      <c r="A62">
        <v>2018</v>
      </c>
      <c r="B62">
        <v>7</v>
      </c>
      <c r="C62">
        <v>1825</v>
      </c>
      <c r="D62">
        <v>43.295011000000002</v>
      </c>
      <c r="E62">
        <v>-2.91</v>
      </c>
      <c r="F62">
        <v>8644</v>
      </c>
    </row>
    <row r="63" spans="1:6" x14ac:dyDescent="0.3">
      <c r="A63">
        <v>2018</v>
      </c>
      <c r="B63">
        <v>8</v>
      </c>
      <c r="C63">
        <v>1825</v>
      </c>
      <c r="D63">
        <v>43.295011000000002</v>
      </c>
      <c r="E63">
        <v>-2.91</v>
      </c>
      <c r="F63">
        <v>0</v>
      </c>
    </row>
    <row r="64" spans="1:6" x14ac:dyDescent="0.3">
      <c r="A64">
        <v>2018</v>
      </c>
      <c r="B64">
        <v>9</v>
      </c>
      <c r="C64">
        <v>1825</v>
      </c>
      <c r="D64">
        <v>43.295011000000002</v>
      </c>
      <c r="E64">
        <v>-2.91</v>
      </c>
      <c r="F64">
        <v>8803</v>
      </c>
    </row>
    <row r="65" spans="1:6" x14ac:dyDescent="0.3">
      <c r="A65">
        <v>2018</v>
      </c>
      <c r="B65">
        <v>10</v>
      </c>
      <c r="C65">
        <v>1825</v>
      </c>
      <c r="D65">
        <v>43.295011000000002</v>
      </c>
      <c r="E65">
        <v>-2.91</v>
      </c>
      <c r="F65">
        <v>9921</v>
      </c>
    </row>
    <row r="66" spans="1:6" x14ac:dyDescent="0.3">
      <c r="A66">
        <v>2018</v>
      </c>
      <c r="B66">
        <v>11</v>
      </c>
      <c r="C66">
        <v>1825</v>
      </c>
      <c r="D66">
        <v>43.295011000000002</v>
      </c>
      <c r="E66">
        <v>-2.91</v>
      </c>
      <c r="F66">
        <v>9033</v>
      </c>
    </row>
    <row r="67" spans="1:6" x14ac:dyDescent="0.3">
      <c r="A67">
        <v>2018</v>
      </c>
      <c r="B67">
        <v>12</v>
      </c>
      <c r="C67">
        <v>1825</v>
      </c>
      <c r="D67">
        <v>43.295011000000002</v>
      </c>
      <c r="E67">
        <v>-2.91</v>
      </c>
      <c r="F67">
        <v>6418</v>
      </c>
    </row>
    <row r="68" spans="1:6" x14ac:dyDescent="0.3">
      <c r="A68">
        <v>2019</v>
      </c>
      <c r="B68">
        <v>1</v>
      </c>
      <c r="C68">
        <v>1825</v>
      </c>
      <c r="D68">
        <v>43.295011000000002</v>
      </c>
      <c r="E68">
        <v>-2.91</v>
      </c>
      <c r="F68">
        <v>9717</v>
      </c>
    </row>
    <row r="69" spans="1:6" x14ac:dyDescent="0.3">
      <c r="A69">
        <v>2019</v>
      </c>
      <c r="B69">
        <v>2</v>
      </c>
      <c r="C69">
        <v>1825</v>
      </c>
      <c r="D69">
        <v>43.295011000000002</v>
      </c>
      <c r="E69">
        <v>-2.91</v>
      </c>
      <c r="F69">
        <v>8589</v>
      </c>
    </row>
    <row r="70" spans="1:6" x14ac:dyDescent="0.3">
      <c r="A70">
        <v>2019</v>
      </c>
      <c r="B70">
        <v>3</v>
      </c>
      <c r="C70">
        <v>1825</v>
      </c>
      <c r="D70">
        <v>43.295011000000002</v>
      </c>
      <c r="E70">
        <v>-2.91</v>
      </c>
      <c r="F70">
        <v>7430</v>
      </c>
    </row>
    <row r="71" spans="1:6" x14ac:dyDescent="0.3">
      <c r="A71">
        <v>2019</v>
      </c>
      <c r="B71">
        <v>4</v>
      </c>
      <c r="C71">
        <v>1825</v>
      </c>
      <c r="D71">
        <v>43.295011000000002</v>
      </c>
      <c r="E71">
        <v>-2.91</v>
      </c>
      <c r="F71">
        <v>8235</v>
      </c>
    </row>
    <row r="72" spans="1:6" x14ac:dyDescent="0.3">
      <c r="A72">
        <v>2019</v>
      </c>
      <c r="B72">
        <v>5</v>
      </c>
      <c r="C72">
        <v>1825</v>
      </c>
      <c r="D72">
        <v>43.295011000000002</v>
      </c>
      <c r="E72">
        <v>-2.91</v>
      </c>
      <c r="F72">
        <v>10506</v>
      </c>
    </row>
    <row r="73" spans="1:6" x14ac:dyDescent="0.3">
      <c r="A73">
        <v>2019</v>
      </c>
      <c r="B73">
        <v>6</v>
      </c>
      <c r="C73">
        <v>1825</v>
      </c>
      <c r="D73">
        <v>43.295011000000002</v>
      </c>
      <c r="E73">
        <v>-2.91</v>
      </c>
      <c r="F73">
        <v>10387</v>
      </c>
    </row>
    <row r="74" spans="1:6" x14ac:dyDescent="0.3">
      <c r="A74">
        <v>2019</v>
      </c>
      <c r="B74">
        <v>7</v>
      </c>
      <c r="C74">
        <v>1825</v>
      </c>
      <c r="D74">
        <v>43.295011000000002</v>
      </c>
      <c r="E74">
        <v>-2.91</v>
      </c>
      <c r="F74">
        <v>7225</v>
      </c>
    </row>
    <row r="75" spans="1:6" x14ac:dyDescent="0.3">
      <c r="A75">
        <v>2019</v>
      </c>
      <c r="B75">
        <v>8</v>
      </c>
      <c r="C75">
        <v>1825</v>
      </c>
      <c r="D75">
        <v>43.295011000000002</v>
      </c>
      <c r="E75">
        <v>-2.91</v>
      </c>
      <c r="F75">
        <v>0</v>
      </c>
    </row>
    <row r="76" spans="1:6" x14ac:dyDescent="0.3">
      <c r="A76">
        <v>2019</v>
      </c>
      <c r="B76">
        <v>9</v>
      </c>
      <c r="C76">
        <v>1825</v>
      </c>
      <c r="D76">
        <v>43.295011000000002</v>
      </c>
      <c r="E76">
        <v>-2.91</v>
      </c>
      <c r="F76">
        <v>8399</v>
      </c>
    </row>
    <row r="77" spans="1:6" x14ac:dyDescent="0.3">
      <c r="A77">
        <v>2019</v>
      </c>
      <c r="B77">
        <v>10</v>
      </c>
      <c r="C77">
        <v>1825</v>
      </c>
      <c r="D77">
        <v>43.295011000000002</v>
      </c>
      <c r="E77">
        <v>-2.91</v>
      </c>
      <c r="F77">
        <v>8148</v>
      </c>
    </row>
    <row r="78" spans="1:6" x14ac:dyDescent="0.3">
      <c r="A78">
        <v>2019</v>
      </c>
      <c r="B78">
        <v>11</v>
      </c>
      <c r="C78">
        <v>1825</v>
      </c>
      <c r="D78">
        <v>43.295011000000002</v>
      </c>
      <c r="E78">
        <v>-2.91</v>
      </c>
      <c r="F78">
        <v>6700</v>
      </c>
    </row>
    <row r="79" spans="1:6" x14ac:dyDescent="0.3">
      <c r="A79">
        <v>2019</v>
      </c>
      <c r="B79">
        <v>12</v>
      </c>
      <c r="C79">
        <v>1825</v>
      </c>
      <c r="D79">
        <v>43.295011000000002</v>
      </c>
      <c r="E79">
        <v>-2.91</v>
      </c>
      <c r="F79">
        <v>4893</v>
      </c>
    </row>
    <row r="80" spans="1:6" x14ac:dyDescent="0.3">
      <c r="A80">
        <v>2020</v>
      </c>
      <c r="B80">
        <v>1</v>
      </c>
      <c r="C80">
        <v>1825</v>
      </c>
      <c r="D80">
        <v>43.295011000000002</v>
      </c>
      <c r="E80">
        <v>-2.91</v>
      </c>
      <c r="F80">
        <v>7175</v>
      </c>
    </row>
    <row r="81" spans="1:6" x14ac:dyDescent="0.3">
      <c r="A81">
        <v>2020</v>
      </c>
      <c r="B81">
        <v>2</v>
      </c>
      <c r="C81">
        <v>1825</v>
      </c>
      <c r="D81">
        <v>43.295011000000002</v>
      </c>
      <c r="E81">
        <v>-2.91</v>
      </c>
      <c r="F81">
        <v>6679</v>
      </c>
    </row>
    <row r="82" spans="1:6" x14ac:dyDescent="0.3">
      <c r="A82">
        <v>2020</v>
      </c>
      <c r="B82">
        <v>3</v>
      </c>
      <c r="C82">
        <v>1825</v>
      </c>
      <c r="D82">
        <v>43.295011000000002</v>
      </c>
      <c r="E82">
        <v>-2.91</v>
      </c>
      <c r="F82">
        <v>7590</v>
      </c>
    </row>
    <row r="83" spans="1:6" x14ac:dyDescent="0.3">
      <c r="A83">
        <v>2020</v>
      </c>
      <c r="B83">
        <v>4</v>
      </c>
      <c r="C83">
        <v>1825</v>
      </c>
      <c r="D83">
        <v>43.295011000000002</v>
      </c>
      <c r="E83">
        <v>-2.91</v>
      </c>
      <c r="F83">
        <v>5244</v>
      </c>
    </row>
    <row r="84" spans="1:6" x14ac:dyDescent="0.3">
      <c r="A84">
        <v>2020</v>
      </c>
      <c r="B84">
        <v>5</v>
      </c>
      <c r="C84">
        <v>1825</v>
      </c>
      <c r="D84">
        <v>43.295011000000002</v>
      </c>
      <c r="E84">
        <v>-2.91</v>
      </c>
      <c r="F84">
        <v>8212</v>
      </c>
    </row>
    <row r="85" spans="1:6" x14ac:dyDescent="0.3">
      <c r="A85">
        <v>2020</v>
      </c>
      <c r="B85">
        <v>6</v>
      </c>
      <c r="C85">
        <v>1825</v>
      </c>
      <c r="D85">
        <v>43.295011000000002</v>
      </c>
      <c r="E85">
        <v>-2.91</v>
      </c>
      <c r="F85">
        <v>9555</v>
      </c>
    </row>
    <row r="86" spans="1:6" x14ac:dyDescent="0.3">
      <c r="A86">
        <v>2020</v>
      </c>
      <c r="B86">
        <v>7</v>
      </c>
      <c r="C86">
        <v>1825</v>
      </c>
      <c r="D86">
        <v>43.295011000000002</v>
      </c>
      <c r="E86">
        <v>-2.91</v>
      </c>
      <c r="F86">
        <v>10573</v>
      </c>
    </row>
    <row r="87" spans="1:6" x14ac:dyDescent="0.3">
      <c r="A87">
        <v>2020</v>
      </c>
      <c r="B87">
        <v>8</v>
      </c>
      <c r="C87">
        <v>1825</v>
      </c>
      <c r="D87">
        <v>43.295011000000002</v>
      </c>
      <c r="E87">
        <v>-2.91</v>
      </c>
      <c r="F87">
        <v>0</v>
      </c>
    </row>
    <row r="88" spans="1:6" x14ac:dyDescent="0.3">
      <c r="A88">
        <v>2020</v>
      </c>
      <c r="B88">
        <v>9</v>
      </c>
      <c r="C88">
        <v>1825</v>
      </c>
      <c r="D88">
        <v>43.295011000000002</v>
      </c>
      <c r="E88">
        <v>-2.91</v>
      </c>
      <c r="F88">
        <v>9501</v>
      </c>
    </row>
    <row r="89" spans="1:6" x14ac:dyDescent="0.3">
      <c r="A89">
        <v>2020</v>
      </c>
      <c r="B89">
        <v>10</v>
      </c>
      <c r="C89">
        <v>1825</v>
      </c>
      <c r="D89">
        <v>43.295011000000002</v>
      </c>
      <c r="E89">
        <v>-2.91</v>
      </c>
      <c r="F89">
        <v>10012</v>
      </c>
    </row>
    <row r="90" spans="1:6" x14ac:dyDescent="0.3">
      <c r="A90">
        <v>2020</v>
      </c>
      <c r="B90">
        <v>11</v>
      </c>
      <c r="C90">
        <v>1825</v>
      </c>
      <c r="D90">
        <v>43.295011000000002</v>
      </c>
      <c r="E90">
        <v>-2.91</v>
      </c>
      <c r="F90">
        <v>10009</v>
      </c>
    </row>
    <row r="91" spans="1:6" x14ac:dyDescent="0.3">
      <c r="A91">
        <v>2020</v>
      </c>
      <c r="B91">
        <v>12</v>
      </c>
      <c r="C91">
        <v>1825</v>
      </c>
      <c r="D91">
        <v>43.295011000000002</v>
      </c>
      <c r="E91">
        <v>-2.91</v>
      </c>
      <c r="F91">
        <v>8058</v>
      </c>
    </row>
    <row r="92" spans="1:6" x14ac:dyDescent="0.3">
      <c r="A92">
        <v>2021</v>
      </c>
      <c r="B92">
        <v>1</v>
      </c>
      <c r="C92">
        <v>1825</v>
      </c>
      <c r="D92">
        <v>43.295011000000002</v>
      </c>
      <c r="E92">
        <v>-2.91</v>
      </c>
      <c r="F92">
        <v>9782</v>
      </c>
    </row>
    <row r="93" spans="1:6" x14ac:dyDescent="0.3">
      <c r="A93">
        <v>2021</v>
      </c>
      <c r="B93">
        <v>2</v>
      </c>
      <c r="C93">
        <v>1825</v>
      </c>
      <c r="D93">
        <v>43.295011000000002</v>
      </c>
      <c r="E93">
        <v>-2.91</v>
      </c>
      <c r="F93">
        <v>10217</v>
      </c>
    </row>
    <row r="94" spans="1:6" x14ac:dyDescent="0.3">
      <c r="A94">
        <v>2021</v>
      </c>
      <c r="B94">
        <v>3</v>
      </c>
      <c r="C94">
        <v>1825</v>
      </c>
      <c r="D94">
        <v>43.295011000000002</v>
      </c>
      <c r="E94">
        <v>-2.91</v>
      </c>
      <c r="F94">
        <v>11469</v>
      </c>
    </row>
    <row r="95" spans="1:6" x14ac:dyDescent="0.3">
      <c r="A95">
        <v>2021</v>
      </c>
      <c r="B95">
        <v>4</v>
      </c>
      <c r="C95">
        <v>1825</v>
      </c>
      <c r="D95">
        <v>43.295011000000002</v>
      </c>
      <c r="E95">
        <v>-2.91</v>
      </c>
      <c r="F95">
        <v>8967</v>
      </c>
    </row>
    <row r="96" spans="1:6" x14ac:dyDescent="0.3">
      <c r="A96">
        <v>2021</v>
      </c>
      <c r="B96">
        <v>5</v>
      </c>
      <c r="C96">
        <v>1825</v>
      </c>
      <c r="D96">
        <v>43.295011000000002</v>
      </c>
      <c r="E96">
        <v>-2.91</v>
      </c>
      <c r="F96">
        <v>9788</v>
      </c>
    </row>
    <row r="97" spans="1:6" x14ac:dyDescent="0.3">
      <c r="A97">
        <v>2021</v>
      </c>
      <c r="B97">
        <v>6</v>
      </c>
      <c r="C97">
        <v>1825</v>
      </c>
      <c r="D97">
        <v>43.295011000000002</v>
      </c>
      <c r="E97">
        <v>-2.91</v>
      </c>
      <c r="F97">
        <v>9101</v>
      </c>
    </row>
    <row r="98" spans="1:6" x14ac:dyDescent="0.3">
      <c r="A98">
        <v>2021</v>
      </c>
      <c r="B98">
        <v>7</v>
      </c>
      <c r="C98">
        <v>1825</v>
      </c>
      <c r="D98">
        <v>43.295011000000002</v>
      </c>
      <c r="E98">
        <v>-2.91</v>
      </c>
      <c r="F98">
        <v>12648</v>
      </c>
    </row>
    <row r="99" spans="1:6" x14ac:dyDescent="0.3">
      <c r="A99">
        <v>2021</v>
      </c>
      <c r="B99">
        <v>8</v>
      </c>
      <c r="C99">
        <v>1825</v>
      </c>
      <c r="D99">
        <v>43.295011000000002</v>
      </c>
      <c r="E99">
        <v>-2.91</v>
      </c>
      <c r="F99">
        <v>0</v>
      </c>
    </row>
    <row r="100" spans="1:6" x14ac:dyDescent="0.3">
      <c r="A100">
        <v>2021</v>
      </c>
      <c r="B100">
        <v>9</v>
      </c>
      <c r="C100">
        <v>1825</v>
      </c>
      <c r="D100">
        <v>43.295011000000002</v>
      </c>
      <c r="E100">
        <v>-2.91</v>
      </c>
      <c r="F100">
        <v>9480</v>
      </c>
    </row>
    <row r="101" spans="1:6" x14ac:dyDescent="0.3">
      <c r="A101">
        <v>2021</v>
      </c>
      <c r="B101">
        <v>10</v>
      </c>
      <c r="C101">
        <v>1825</v>
      </c>
      <c r="D101">
        <v>43.295011000000002</v>
      </c>
      <c r="E101">
        <v>-2.91</v>
      </c>
      <c r="F101">
        <v>8953</v>
      </c>
    </row>
    <row r="102" spans="1:6" x14ac:dyDescent="0.3">
      <c r="A102">
        <v>2021</v>
      </c>
      <c r="B102">
        <v>11</v>
      </c>
      <c r="C102">
        <v>1825</v>
      </c>
      <c r="D102">
        <v>43.295011000000002</v>
      </c>
      <c r="E102">
        <v>-2.91</v>
      </c>
      <c r="F102">
        <v>9751</v>
      </c>
    </row>
    <row r="103" spans="1:6" x14ac:dyDescent="0.3">
      <c r="A103">
        <v>2021</v>
      </c>
      <c r="B103">
        <v>12</v>
      </c>
      <c r="C103">
        <v>1825</v>
      </c>
      <c r="D103">
        <v>43.295011000000002</v>
      </c>
      <c r="E103">
        <v>-2.91</v>
      </c>
      <c r="F103">
        <v>6560</v>
      </c>
    </row>
    <row r="104" spans="1:6" x14ac:dyDescent="0.3">
      <c r="A104">
        <v>2022</v>
      </c>
      <c r="B104">
        <v>1</v>
      </c>
      <c r="C104">
        <v>1825</v>
      </c>
      <c r="D104">
        <v>43.295011000000002</v>
      </c>
      <c r="E104">
        <v>-2.91</v>
      </c>
      <c r="F104">
        <v>10855</v>
      </c>
    </row>
    <row r="105" spans="1:6" x14ac:dyDescent="0.3">
      <c r="A105">
        <v>2022</v>
      </c>
      <c r="B105">
        <v>2</v>
      </c>
      <c r="C105">
        <v>1825</v>
      </c>
      <c r="D105">
        <v>43.295011000000002</v>
      </c>
      <c r="E105">
        <v>-2.91</v>
      </c>
      <c r="F105">
        <v>10172</v>
      </c>
    </row>
    <row r="106" spans="1:6" x14ac:dyDescent="0.3">
      <c r="A106">
        <v>2022</v>
      </c>
      <c r="B106">
        <v>3</v>
      </c>
      <c r="C106">
        <v>1825</v>
      </c>
      <c r="D106">
        <v>43.295011000000002</v>
      </c>
      <c r="E106">
        <v>-2.91</v>
      </c>
      <c r="F106">
        <v>9760</v>
      </c>
    </row>
    <row r="107" spans="1:6" x14ac:dyDescent="0.3">
      <c r="A107">
        <v>2022</v>
      </c>
      <c r="B107">
        <v>4</v>
      </c>
      <c r="C107">
        <v>1825</v>
      </c>
      <c r="D107">
        <v>43.295011000000002</v>
      </c>
      <c r="E107">
        <v>-2.91</v>
      </c>
      <c r="F107">
        <v>6955</v>
      </c>
    </row>
    <row r="108" spans="1:6" x14ac:dyDescent="0.3">
      <c r="A108">
        <v>2022</v>
      </c>
      <c r="B108">
        <v>5</v>
      </c>
      <c r="C108">
        <v>1825</v>
      </c>
      <c r="D108">
        <v>43.295011000000002</v>
      </c>
      <c r="E108">
        <v>-2.91</v>
      </c>
      <c r="F108">
        <v>10784</v>
      </c>
    </row>
    <row r="109" spans="1:6" x14ac:dyDescent="0.3">
      <c r="A109">
        <v>2022</v>
      </c>
      <c r="B109">
        <v>6</v>
      </c>
      <c r="C109">
        <v>1825</v>
      </c>
      <c r="D109">
        <v>43.295011000000002</v>
      </c>
      <c r="E109">
        <v>-2.91</v>
      </c>
      <c r="F109">
        <v>11047</v>
      </c>
    </row>
    <row r="110" spans="1:6" x14ac:dyDescent="0.3">
      <c r="A110">
        <v>2018</v>
      </c>
      <c r="B110">
        <v>1</v>
      </c>
      <c r="C110">
        <v>6618</v>
      </c>
      <c r="D110">
        <v>43.041697999999997</v>
      </c>
      <c r="E110">
        <v>-2.2160009999999999</v>
      </c>
      <c r="F110">
        <v>81338</v>
      </c>
    </row>
    <row r="111" spans="1:6" x14ac:dyDescent="0.3">
      <c r="A111">
        <v>2018</v>
      </c>
      <c r="B111">
        <v>2</v>
      </c>
      <c r="C111">
        <v>6618</v>
      </c>
      <c r="D111">
        <v>43.041697999999997</v>
      </c>
      <c r="E111">
        <v>-2.2160009999999999</v>
      </c>
      <c r="F111">
        <v>79416</v>
      </c>
    </row>
    <row r="112" spans="1:6" x14ac:dyDescent="0.3">
      <c r="A112">
        <v>2018</v>
      </c>
      <c r="B112">
        <v>3</v>
      </c>
      <c r="C112">
        <v>6618</v>
      </c>
      <c r="D112">
        <v>43.041697999999997</v>
      </c>
      <c r="E112">
        <v>-2.2160009999999999</v>
      </c>
      <c r="F112">
        <v>85121</v>
      </c>
    </row>
    <row r="113" spans="1:6" x14ac:dyDescent="0.3">
      <c r="A113">
        <v>2018</v>
      </c>
      <c r="B113">
        <v>4</v>
      </c>
      <c r="C113">
        <v>6618</v>
      </c>
      <c r="D113">
        <v>43.041697999999997</v>
      </c>
      <c r="E113">
        <v>-2.2160009999999999</v>
      </c>
      <c r="F113">
        <v>76612</v>
      </c>
    </row>
    <row r="114" spans="1:6" x14ac:dyDescent="0.3">
      <c r="A114">
        <v>2018</v>
      </c>
      <c r="B114">
        <v>5</v>
      </c>
      <c r="C114">
        <v>6618</v>
      </c>
      <c r="D114">
        <v>43.041697999999997</v>
      </c>
      <c r="E114">
        <v>-2.2160009999999999</v>
      </c>
      <c r="F114">
        <v>97937</v>
      </c>
    </row>
    <row r="115" spans="1:6" x14ac:dyDescent="0.3">
      <c r="A115">
        <v>2018</v>
      </c>
      <c r="B115">
        <v>6</v>
      </c>
      <c r="C115">
        <v>6618</v>
      </c>
      <c r="D115">
        <v>43.041697999999997</v>
      </c>
      <c r="E115">
        <v>-2.2160009999999999</v>
      </c>
      <c r="F115">
        <v>92810</v>
      </c>
    </row>
    <row r="116" spans="1:6" x14ac:dyDescent="0.3">
      <c r="A116">
        <v>2018</v>
      </c>
      <c r="B116">
        <v>7</v>
      </c>
      <c r="C116">
        <v>6618</v>
      </c>
      <c r="D116">
        <v>43.041697999999997</v>
      </c>
      <c r="E116">
        <v>-2.2160009999999999</v>
      </c>
      <c r="F116">
        <v>59380</v>
      </c>
    </row>
    <row r="117" spans="1:6" x14ac:dyDescent="0.3">
      <c r="A117">
        <v>2018</v>
      </c>
      <c r="B117">
        <v>8</v>
      </c>
      <c r="C117">
        <v>6618</v>
      </c>
      <c r="D117">
        <v>43.041697999999997</v>
      </c>
      <c r="E117">
        <v>-2.2160009999999999</v>
      </c>
      <c r="F117">
        <v>81648</v>
      </c>
    </row>
    <row r="118" spans="1:6" x14ac:dyDescent="0.3">
      <c r="A118">
        <v>2018</v>
      </c>
      <c r="B118">
        <v>9</v>
      </c>
      <c r="C118">
        <v>6618</v>
      </c>
      <c r="D118">
        <v>43.041697999999997</v>
      </c>
      <c r="E118">
        <v>-2.2160009999999999</v>
      </c>
      <c r="F118">
        <v>95199</v>
      </c>
    </row>
    <row r="119" spans="1:6" x14ac:dyDescent="0.3">
      <c r="A119">
        <v>2018</v>
      </c>
      <c r="B119">
        <v>10</v>
      </c>
      <c r="C119">
        <v>6618</v>
      </c>
      <c r="D119">
        <v>43.041697999999997</v>
      </c>
      <c r="E119">
        <v>-2.2160009999999999</v>
      </c>
      <c r="F119">
        <v>97804</v>
      </c>
    </row>
    <row r="120" spans="1:6" x14ac:dyDescent="0.3">
      <c r="A120">
        <v>2018</v>
      </c>
      <c r="B120">
        <v>11</v>
      </c>
      <c r="C120">
        <v>6618</v>
      </c>
      <c r="D120">
        <v>43.041697999999997</v>
      </c>
      <c r="E120">
        <v>-2.2160009999999999</v>
      </c>
      <c r="F120">
        <v>94850</v>
      </c>
    </row>
    <row r="121" spans="1:6" x14ac:dyDescent="0.3">
      <c r="A121">
        <v>2018</v>
      </c>
      <c r="B121">
        <v>12</v>
      </c>
      <c r="C121">
        <v>6618</v>
      </c>
      <c r="D121">
        <v>43.041697999999997</v>
      </c>
      <c r="E121">
        <v>-2.2160009999999999</v>
      </c>
      <c r="F121">
        <v>78056</v>
      </c>
    </row>
    <row r="122" spans="1:6" x14ac:dyDescent="0.3">
      <c r="A122">
        <v>2019</v>
      </c>
      <c r="B122">
        <v>1</v>
      </c>
      <c r="C122">
        <v>6618</v>
      </c>
      <c r="D122">
        <v>43.041697999999997</v>
      </c>
      <c r="E122">
        <v>-2.2160009999999999</v>
      </c>
      <c r="F122">
        <v>92957</v>
      </c>
    </row>
    <row r="123" spans="1:6" x14ac:dyDescent="0.3">
      <c r="A123">
        <v>2019</v>
      </c>
      <c r="B123">
        <v>2</v>
      </c>
      <c r="C123">
        <v>6618</v>
      </c>
      <c r="D123">
        <v>43.041697999999997</v>
      </c>
      <c r="E123">
        <v>-2.2160009999999999</v>
      </c>
      <c r="F123">
        <v>93110</v>
      </c>
    </row>
    <row r="124" spans="1:6" x14ac:dyDescent="0.3">
      <c r="A124">
        <v>2019</v>
      </c>
      <c r="B124">
        <v>3</v>
      </c>
      <c r="C124">
        <v>6618</v>
      </c>
      <c r="D124">
        <v>43.041697999999997</v>
      </c>
      <c r="E124">
        <v>-2.2160009999999999</v>
      </c>
      <c r="F124">
        <v>101407</v>
      </c>
    </row>
    <row r="125" spans="1:6" x14ac:dyDescent="0.3">
      <c r="A125">
        <v>2019</v>
      </c>
      <c r="B125">
        <v>4</v>
      </c>
      <c r="C125">
        <v>6618</v>
      </c>
      <c r="D125">
        <v>43.041697999999997</v>
      </c>
      <c r="E125">
        <v>-2.2160009999999999</v>
      </c>
      <c r="F125">
        <v>82455</v>
      </c>
    </row>
    <row r="126" spans="1:6" x14ac:dyDescent="0.3">
      <c r="A126">
        <v>2019</v>
      </c>
      <c r="B126">
        <v>5</v>
      </c>
      <c r="C126">
        <v>6618</v>
      </c>
      <c r="D126">
        <v>43.041697999999997</v>
      </c>
      <c r="E126">
        <v>-2.2160009999999999</v>
      </c>
      <c r="F126">
        <v>92583</v>
      </c>
    </row>
    <row r="127" spans="1:6" x14ac:dyDescent="0.3">
      <c r="A127">
        <v>2019</v>
      </c>
      <c r="B127">
        <v>6</v>
      </c>
      <c r="C127">
        <v>6618</v>
      </c>
      <c r="D127">
        <v>43.041697999999997</v>
      </c>
      <c r="E127">
        <v>-2.2160009999999999</v>
      </c>
      <c r="F127">
        <v>94957</v>
      </c>
    </row>
    <row r="128" spans="1:6" x14ac:dyDescent="0.3">
      <c r="A128">
        <v>2019</v>
      </c>
      <c r="B128">
        <v>7</v>
      </c>
      <c r="C128">
        <v>6618</v>
      </c>
      <c r="D128">
        <v>43.041697999999997</v>
      </c>
      <c r="E128">
        <v>-2.2160009999999999</v>
      </c>
      <c r="F128">
        <v>80964</v>
      </c>
    </row>
    <row r="129" spans="1:6" x14ac:dyDescent="0.3">
      <c r="A129">
        <v>2019</v>
      </c>
      <c r="B129">
        <v>8</v>
      </c>
      <c r="C129">
        <v>6618</v>
      </c>
      <c r="D129">
        <v>43.041697999999997</v>
      </c>
      <c r="E129">
        <v>-2.2160009999999999</v>
      </c>
      <c r="F129">
        <v>53401</v>
      </c>
    </row>
    <row r="130" spans="1:6" x14ac:dyDescent="0.3">
      <c r="A130">
        <v>2019</v>
      </c>
      <c r="B130">
        <v>9</v>
      </c>
      <c r="C130">
        <v>6618</v>
      </c>
      <c r="D130">
        <v>43.041697999999997</v>
      </c>
      <c r="E130">
        <v>-2.2160009999999999</v>
      </c>
      <c r="F130">
        <v>52890</v>
      </c>
    </row>
    <row r="131" spans="1:6" x14ac:dyDescent="0.3">
      <c r="A131">
        <v>2019</v>
      </c>
      <c r="B131">
        <v>10</v>
      </c>
      <c r="C131">
        <v>6618</v>
      </c>
      <c r="D131">
        <v>43.041697999999997</v>
      </c>
      <c r="E131">
        <v>-2.2160009999999999</v>
      </c>
      <c r="F131">
        <v>103002</v>
      </c>
    </row>
    <row r="132" spans="1:6" x14ac:dyDescent="0.3">
      <c r="A132">
        <v>2019</v>
      </c>
      <c r="B132">
        <v>11</v>
      </c>
      <c r="C132">
        <v>6618</v>
      </c>
      <c r="D132">
        <v>43.041697999999997</v>
      </c>
      <c r="E132">
        <v>-2.2160009999999999</v>
      </c>
      <c r="F132">
        <v>88527</v>
      </c>
    </row>
    <row r="133" spans="1:6" x14ac:dyDescent="0.3">
      <c r="A133">
        <v>2019</v>
      </c>
      <c r="B133">
        <v>12</v>
      </c>
      <c r="C133">
        <v>6618</v>
      </c>
      <c r="D133">
        <v>43.041697999999997</v>
      </c>
      <c r="E133">
        <v>-2.2160009999999999</v>
      </c>
      <c r="F133">
        <v>80811</v>
      </c>
    </row>
    <row r="134" spans="1:6" x14ac:dyDescent="0.3">
      <c r="A134">
        <v>2020</v>
      </c>
      <c r="B134">
        <v>1</v>
      </c>
      <c r="C134">
        <v>6618</v>
      </c>
      <c r="D134">
        <v>43.041697999999997</v>
      </c>
      <c r="E134">
        <v>-2.2160009999999999</v>
      </c>
      <c r="F134">
        <v>78112</v>
      </c>
    </row>
    <row r="135" spans="1:6" x14ac:dyDescent="0.3">
      <c r="A135">
        <v>2020</v>
      </c>
      <c r="B135">
        <v>2</v>
      </c>
      <c r="C135">
        <v>6618</v>
      </c>
      <c r="D135">
        <v>43.041697999999997</v>
      </c>
      <c r="E135">
        <v>-2.2160009999999999</v>
      </c>
      <c r="F135">
        <v>79394</v>
      </c>
    </row>
    <row r="136" spans="1:6" x14ac:dyDescent="0.3">
      <c r="A136">
        <v>2020</v>
      </c>
      <c r="B136">
        <v>3</v>
      </c>
      <c r="C136">
        <v>6618</v>
      </c>
      <c r="D136">
        <v>43.041697999999997</v>
      </c>
      <c r="E136">
        <v>-2.2160009999999999</v>
      </c>
      <c r="F136">
        <v>74517</v>
      </c>
    </row>
    <row r="137" spans="1:6" x14ac:dyDescent="0.3">
      <c r="A137">
        <v>2020</v>
      </c>
      <c r="B137">
        <v>4</v>
      </c>
      <c r="C137">
        <v>6618</v>
      </c>
      <c r="D137">
        <v>43.041697999999997</v>
      </c>
      <c r="E137">
        <v>-2.2160009999999999</v>
      </c>
      <c r="F137">
        <v>64986</v>
      </c>
    </row>
    <row r="138" spans="1:6" x14ac:dyDescent="0.3">
      <c r="A138">
        <v>2020</v>
      </c>
      <c r="B138">
        <v>5</v>
      </c>
      <c r="C138">
        <v>6618</v>
      </c>
      <c r="D138">
        <v>43.041697999999997</v>
      </c>
      <c r="E138">
        <v>-2.2160009999999999</v>
      </c>
      <c r="F138">
        <v>77012</v>
      </c>
    </row>
    <row r="139" spans="1:6" x14ac:dyDescent="0.3">
      <c r="A139">
        <v>2020</v>
      </c>
      <c r="B139">
        <v>6</v>
      </c>
      <c r="C139">
        <v>6618</v>
      </c>
      <c r="D139">
        <v>43.041697999999997</v>
      </c>
      <c r="E139">
        <v>-2.2160009999999999</v>
      </c>
      <c r="F139">
        <v>68290</v>
      </c>
    </row>
    <row r="140" spans="1:6" x14ac:dyDescent="0.3">
      <c r="A140">
        <v>2020</v>
      </c>
      <c r="B140">
        <v>7</v>
      </c>
      <c r="C140">
        <v>6618</v>
      </c>
      <c r="D140">
        <v>43.041697999999997</v>
      </c>
      <c r="E140">
        <v>-2.2160009999999999</v>
      </c>
      <c r="F140">
        <v>51309</v>
      </c>
    </row>
    <row r="141" spans="1:6" x14ac:dyDescent="0.3">
      <c r="A141">
        <v>2020</v>
      </c>
      <c r="B141">
        <v>8</v>
      </c>
      <c r="C141">
        <v>6618</v>
      </c>
      <c r="D141">
        <v>43.041697999999997</v>
      </c>
      <c r="E141">
        <v>-2.2160009999999999</v>
      </c>
      <c r="F141">
        <v>73204</v>
      </c>
    </row>
    <row r="142" spans="1:6" x14ac:dyDescent="0.3">
      <c r="A142">
        <v>2020</v>
      </c>
      <c r="B142">
        <v>9</v>
      </c>
      <c r="C142">
        <v>6618</v>
      </c>
      <c r="D142">
        <v>43.041697999999997</v>
      </c>
      <c r="E142">
        <v>-2.2160009999999999</v>
      </c>
      <c r="F142">
        <v>94475</v>
      </c>
    </row>
    <row r="143" spans="1:6" x14ac:dyDescent="0.3">
      <c r="A143">
        <v>2020</v>
      </c>
      <c r="B143">
        <v>10</v>
      </c>
      <c r="C143">
        <v>6618</v>
      </c>
      <c r="D143">
        <v>43.041697999999997</v>
      </c>
      <c r="E143">
        <v>-2.2160009999999999</v>
      </c>
      <c r="F143">
        <v>93510</v>
      </c>
    </row>
    <row r="144" spans="1:6" x14ac:dyDescent="0.3">
      <c r="A144">
        <v>2020</v>
      </c>
      <c r="B144">
        <v>11</v>
      </c>
      <c r="C144">
        <v>6618</v>
      </c>
      <c r="D144">
        <v>43.041697999999997</v>
      </c>
      <c r="E144">
        <v>-2.2160009999999999</v>
      </c>
      <c r="F144">
        <v>92648</v>
      </c>
    </row>
    <row r="145" spans="1:6" x14ac:dyDescent="0.3">
      <c r="A145">
        <v>2020</v>
      </c>
      <c r="B145">
        <v>12</v>
      </c>
      <c r="C145">
        <v>6618</v>
      </c>
      <c r="D145">
        <v>43.041697999999997</v>
      </c>
      <c r="E145">
        <v>-2.2160009999999999</v>
      </c>
      <c r="F145">
        <v>84320</v>
      </c>
    </row>
    <row r="146" spans="1:6" x14ac:dyDescent="0.3">
      <c r="A146">
        <v>2021</v>
      </c>
      <c r="B146">
        <v>1</v>
      </c>
      <c r="C146">
        <v>6618</v>
      </c>
      <c r="D146">
        <v>43.041697999999997</v>
      </c>
      <c r="E146">
        <v>-2.2160009999999999</v>
      </c>
      <c r="F146">
        <v>91078</v>
      </c>
    </row>
    <row r="147" spans="1:6" x14ac:dyDescent="0.3">
      <c r="A147">
        <v>2021</v>
      </c>
      <c r="B147">
        <v>2</v>
      </c>
      <c r="C147">
        <v>6618</v>
      </c>
      <c r="D147">
        <v>43.041697999999997</v>
      </c>
      <c r="E147">
        <v>-2.2160009999999999</v>
      </c>
      <c r="F147">
        <v>92052</v>
      </c>
    </row>
    <row r="148" spans="1:6" x14ac:dyDescent="0.3">
      <c r="A148">
        <v>2021</v>
      </c>
      <c r="B148">
        <v>3</v>
      </c>
      <c r="C148">
        <v>6618</v>
      </c>
      <c r="D148">
        <v>43.041697999999997</v>
      </c>
      <c r="E148">
        <v>-2.2160009999999999</v>
      </c>
      <c r="F148">
        <v>101559</v>
      </c>
    </row>
    <row r="149" spans="1:6" x14ac:dyDescent="0.3">
      <c r="A149">
        <v>2021</v>
      </c>
      <c r="B149">
        <v>4</v>
      </c>
      <c r="C149">
        <v>6618</v>
      </c>
      <c r="D149">
        <v>43.041697999999997</v>
      </c>
      <c r="E149">
        <v>-2.2160009999999999</v>
      </c>
      <c r="F149">
        <v>85167</v>
      </c>
    </row>
    <row r="150" spans="1:6" x14ac:dyDescent="0.3">
      <c r="A150">
        <v>2021</v>
      </c>
      <c r="B150">
        <v>5</v>
      </c>
      <c r="C150">
        <v>6618</v>
      </c>
      <c r="D150">
        <v>43.041697999999997</v>
      </c>
      <c r="E150">
        <v>-2.2160009999999999</v>
      </c>
      <c r="F150">
        <v>94434</v>
      </c>
    </row>
    <row r="151" spans="1:6" x14ac:dyDescent="0.3">
      <c r="A151">
        <v>2021</v>
      </c>
      <c r="B151">
        <v>6</v>
      </c>
      <c r="C151">
        <v>6618</v>
      </c>
      <c r="D151">
        <v>43.041697999999997</v>
      </c>
      <c r="E151">
        <v>-2.2160009999999999</v>
      </c>
      <c r="F151">
        <v>94321</v>
      </c>
    </row>
    <row r="152" spans="1:6" x14ac:dyDescent="0.3">
      <c r="A152">
        <v>2021</v>
      </c>
      <c r="B152">
        <v>7</v>
      </c>
      <c r="C152">
        <v>6618</v>
      </c>
      <c r="D152">
        <v>43.041697999999997</v>
      </c>
      <c r="E152">
        <v>-2.2160009999999999</v>
      </c>
      <c r="F152">
        <v>60288</v>
      </c>
    </row>
    <row r="153" spans="1:6" x14ac:dyDescent="0.3">
      <c r="A153">
        <v>2021</v>
      </c>
      <c r="B153">
        <v>8</v>
      </c>
      <c r="C153">
        <v>6618</v>
      </c>
      <c r="D153">
        <v>43.041697999999997</v>
      </c>
      <c r="E153">
        <v>-2.2160009999999999</v>
      </c>
      <c r="F153">
        <v>82172</v>
      </c>
    </row>
    <row r="154" spans="1:6" x14ac:dyDescent="0.3">
      <c r="A154">
        <v>2021</v>
      </c>
      <c r="B154">
        <v>9</v>
      </c>
      <c r="C154">
        <v>6618</v>
      </c>
      <c r="D154">
        <v>43.041697999999997</v>
      </c>
      <c r="E154">
        <v>-2.2160009999999999</v>
      </c>
      <c r="F154">
        <v>97136</v>
      </c>
    </row>
    <row r="155" spans="1:6" x14ac:dyDescent="0.3">
      <c r="A155">
        <v>2021</v>
      </c>
      <c r="B155">
        <v>10</v>
      </c>
      <c r="C155">
        <v>6618</v>
      </c>
      <c r="D155">
        <v>43.041697999999997</v>
      </c>
      <c r="E155">
        <v>-2.2160009999999999</v>
      </c>
      <c r="F155">
        <v>97136</v>
      </c>
    </row>
    <row r="156" spans="1:6" x14ac:dyDescent="0.3">
      <c r="A156">
        <v>2021</v>
      </c>
      <c r="B156">
        <v>11</v>
      </c>
      <c r="C156">
        <v>6618</v>
      </c>
      <c r="D156">
        <v>43.041697999999997</v>
      </c>
      <c r="E156">
        <v>-2.2160009999999999</v>
      </c>
      <c r="F156">
        <v>92523</v>
      </c>
    </row>
    <row r="157" spans="1:6" x14ac:dyDescent="0.3">
      <c r="A157">
        <v>2021</v>
      </c>
      <c r="B157">
        <v>12</v>
      </c>
      <c r="C157">
        <v>6618</v>
      </c>
      <c r="D157">
        <v>43.041697999999997</v>
      </c>
      <c r="E157">
        <v>-2.2160009999999999</v>
      </c>
      <c r="F157">
        <v>74768</v>
      </c>
    </row>
    <row r="158" spans="1:6" x14ac:dyDescent="0.3">
      <c r="A158">
        <v>2022</v>
      </c>
      <c r="B158">
        <v>1</v>
      </c>
      <c r="C158">
        <v>6618</v>
      </c>
      <c r="D158">
        <v>43.041697999999997</v>
      </c>
      <c r="E158">
        <v>-2.2160009999999999</v>
      </c>
      <c r="F158">
        <v>70570</v>
      </c>
    </row>
    <row r="159" spans="1:6" x14ac:dyDescent="0.3">
      <c r="A159">
        <v>2022</v>
      </c>
      <c r="B159">
        <v>2</v>
      </c>
      <c r="C159">
        <v>6618</v>
      </c>
      <c r="D159">
        <v>43.041697999999997</v>
      </c>
      <c r="E159">
        <v>-2.2160009999999999</v>
      </c>
      <c r="F159">
        <v>91283</v>
      </c>
    </row>
    <row r="160" spans="1:6" x14ac:dyDescent="0.3">
      <c r="A160">
        <v>2022</v>
      </c>
      <c r="B160">
        <v>3</v>
      </c>
      <c r="C160">
        <v>6618</v>
      </c>
      <c r="D160">
        <v>43.041697999999997</v>
      </c>
      <c r="E160">
        <v>-2.2160009999999999</v>
      </c>
      <c r="F160">
        <v>90881</v>
      </c>
    </row>
    <row r="161" spans="1:6" x14ac:dyDescent="0.3">
      <c r="A161">
        <v>2022</v>
      </c>
      <c r="B161">
        <v>4</v>
      </c>
      <c r="C161">
        <v>6618</v>
      </c>
      <c r="D161">
        <v>43.041697999999997</v>
      </c>
      <c r="E161">
        <v>-2.2160009999999999</v>
      </c>
      <c r="F161">
        <v>88671</v>
      </c>
    </row>
    <row r="162" spans="1:6" x14ac:dyDescent="0.3">
      <c r="A162">
        <v>2022</v>
      </c>
      <c r="B162">
        <v>5</v>
      </c>
      <c r="C162">
        <v>6618</v>
      </c>
      <c r="D162">
        <v>43.041697999999997</v>
      </c>
      <c r="E162">
        <v>-2.2160009999999999</v>
      </c>
      <c r="F162">
        <v>97139</v>
      </c>
    </row>
    <row r="163" spans="1:6" x14ac:dyDescent="0.3">
      <c r="A163">
        <v>2022</v>
      </c>
      <c r="B163">
        <v>6</v>
      </c>
      <c r="C163">
        <v>6618</v>
      </c>
      <c r="D163">
        <v>43.041697999999997</v>
      </c>
      <c r="E163">
        <v>-2.2160009999999999</v>
      </c>
      <c r="F163">
        <v>91331</v>
      </c>
    </row>
    <row r="164" spans="1:6" x14ac:dyDescent="0.3">
      <c r="A164">
        <v>2018</v>
      </c>
      <c r="B164">
        <v>1</v>
      </c>
      <c r="C164">
        <v>1265</v>
      </c>
      <c r="D164">
        <v>43.310400000000001</v>
      </c>
      <c r="E164">
        <v>-2.9984500000000001</v>
      </c>
      <c r="F164">
        <v>26169</v>
      </c>
    </row>
    <row r="165" spans="1:6" x14ac:dyDescent="0.3">
      <c r="A165">
        <v>2018</v>
      </c>
      <c r="B165">
        <v>2</v>
      </c>
      <c r="C165">
        <v>1265</v>
      </c>
      <c r="D165">
        <v>43.310400000000001</v>
      </c>
      <c r="E165">
        <v>-2.9984500000000001</v>
      </c>
      <c r="F165">
        <v>23112</v>
      </c>
    </row>
    <row r="166" spans="1:6" x14ac:dyDescent="0.3">
      <c r="A166">
        <v>2018</v>
      </c>
      <c r="B166">
        <v>3</v>
      </c>
      <c r="C166">
        <v>1265</v>
      </c>
      <c r="D166">
        <v>43.310400000000001</v>
      </c>
      <c r="E166">
        <v>-2.9984500000000001</v>
      </c>
      <c r="F166">
        <v>27548</v>
      </c>
    </row>
    <row r="167" spans="1:6" x14ac:dyDescent="0.3">
      <c r="A167">
        <v>2018</v>
      </c>
      <c r="B167">
        <v>4</v>
      </c>
      <c r="C167">
        <v>1265</v>
      </c>
      <c r="D167">
        <v>43.310400000000001</v>
      </c>
      <c r="E167">
        <v>-2.9984500000000001</v>
      </c>
      <c r="F167">
        <v>29044</v>
      </c>
    </row>
    <row r="168" spans="1:6" x14ac:dyDescent="0.3">
      <c r="A168">
        <v>2018</v>
      </c>
      <c r="B168">
        <v>5</v>
      </c>
      <c r="C168">
        <v>1265</v>
      </c>
      <c r="D168">
        <v>43.310400000000001</v>
      </c>
      <c r="E168">
        <v>-2.9984500000000001</v>
      </c>
      <c r="F168">
        <v>29569</v>
      </c>
    </row>
    <row r="169" spans="1:6" x14ac:dyDescent="0.3">
      <c r="A169">
        <v>2018</v>
      </c>
      <c r="B169">
        <v>6</v>
      </c>
      <c r="C169">
        <v>1265</v>
      </c>
      <c r="D169">
        <v>43.310400000000001</v>
      </c>
      <c r="E169">
        <v>-2.9984500000000001</v>
      </c>
      <c r="F169">
        <v>35429</v>
      </c>
    </row>
    <row r="170" spans="1:6" x14ac:dyDescent="0.3">
      <c r="A170">
        <v>2018</v>
      </c>
      <c r="B170">
        <v>7</v>
      </c>
      <c r="C170">
        <v>1265</v>
      </c>
      <c r="D170">
        <v>43.310400000000001</v>
      </c>
      <c r="E170">
        <v>-2.9984500000000001</v>
      </c>
      <c r="F170">
        <v>22584</v>
      </c>
    </row>
    <row r="171" spans="1:6" x14ac:dyDescent="0.3">
      <c r="A171">
        <v>2018</v>
      </c>
      <c r="B171">
        <v>8</v>
      </c>
      <c r="C171">
        <v>1265</v>
      </c>
      <c r="D171">
        <v>43.310400000000001</v>
      </c>
      <c r="E171">
        <v>-2.9984500000000001</v>
      </c>
      <c r="F171">
        <v>26841</v>
      </c>
    </row>
    <row r="172" spans="1:6" x14ac:dyDescent="0.3">
      <c r="A172">
        <v>2018</v>
      </c>
      <c r="B172">
        <v>9</v>
      </c>
      <c r="C172">
        <v>1265</v>
      </c>
      <c r="D172">
        <v>43.310400000000001</v>
      </c>
      <c r="E172">
        <v>-2.9984500000000001</v>
      </c>
      <c r="F172">
        <v>27538</v>
      </c>
    </row>
    <row r="173" spans="1:6" x14ac:dyDescent="0.3">
      <c r="A173">
        <v>2018</v>
      </c>
      <c r="B173">
        <v>10</v>
      </c>
      <c r="C173">
        <v>1265</v>
      </c>
      <c r="D173">
        <v>43.310400000000001</v>
      </c>
      <c r="E173">
        <v>-2.9984500000000001</v>
      </c>
      <c r="F173">
        <v>27856</v>
      </c>
    </row>
    <row r="174" spans="1:6" x14ac:dyDescent="0.3">
      <c r="A174">
        <v>2018</v>
      </c>
      <c r="B174">
        <v>11</v>
      </c>
      <c r="C174">
        <v>1265</v>
      </c>
      <c r="D174">
        <v>43.310400000000001</v>
      </c>
      <c r="E174">
        <v>-2.9984500000000001</v>
      </c>
      <c r="F174">
        <v>29519</v>
      </c>
    </row>
    <row r="175" spans="1:6" x14ac:dyDescent="0.3">
      <c r="A175">
        <v>2018</v>
      </c>
      <c r="B175">
        <v>12</v>
      </c>
      <c r="C175">
        <v>1265</v>
      </c>
      <c r="D175">
        <v>43.310400000000001</v>
      </c>
      <c r="E175">
        <v>-2.9984500000000001</v>
      </c>
      <c r="F175">
        <v>27816</v>
      </c>
    </row>
    <row r="176" spans="1:6" x14ac:dyDescent="0.3">
      <c r="A176">
        <v>2019</v>
      </c>
      <c r="B176">
        <v>1</v>
      </c>
      <c r="C176">
        <v>1265</v>
      </c>
      <c r="D176">
        <v>43.310400000000001</v>
      </c>
      <c r="E176">
        <v>-2.9984500000000001</v>
      </c>
      <c r="F176">
        <v>29609</v>
      </c>
    </row>
    <row r="177" spans="1:6" x14ac:dyDescent="0.3">
      <c r="A177">
        <v>2019</v>
      </c>
      <c r="B177">
        <v>2</v>
      </c>
      <c r="C177">
        <v>1265</v>
      </c>
      <c r="D177">
        <v>43.310400000000001</v>
      </c>
      <c r="E177">
        <v>-2.9984500000000001</v>
      </c>
      <c r="F177">
        <v>28122</v>
      </c>
    </row>
    <row r="178" spans="1:6" x14ac:dyDescent="0.3">
      <c r="A178">
        <v>2019</v>
      </c>
      <c r="B178">
        <v>3</v>
      </c>
      <c r="C178">
        <v>1265</v>
      </c>
      <c r="D178">
        <v>43.310400000000001</v>
      </c>
      <c r="E178">
        <v>-2.9984500000000001</v>
      </c>
      <c r="F178">
        <v>31699</v>
      </c>
    </row>
    <row r="179" spans="1:6" x14ac:dyDescent="0.3">
      <c r="A179">
        <v>2019</v>
      </c>
      <c r="B179">
        <v>4</v>
      </c>
      <c r="C179">
        <v>1265</v>
      </c>
      <c r="D179">
        <v>43.310400000000001</v>
      </c>
      <c r="E179">
        <v>-2.9984500000000001</v>
      </c>
      <c r="F179">
        <v>28823</v>
      </c>
    </row>
    <row r="180" spans="1:6" x14ac:dyDescent="0.3">
      <c r="A180">
        <v>2019</v>
      </c>
      <c r="B180">
        <v>5</v>
      </c>
      <c r="C180">
        <v>1265</v>
      </c>
      <c r="D180">
        <v>43.310400000000001</v>
      </c>
      <c r="E180">
        <v>-2.9984500000000001</v>
      </c>
      <c r="F180">
        <v>27535</v>
      </c>
    </row>
    <row r="181" spans="1:6" x14ac:dyDescent="0.3">
      <c r="A181">
        <v>2019</v>
      </c>
      <c r="B181">
        <v>6</v>
      </c>
      <c r="C181">
        <v>1265</v>
      </c>
      <c r="D181">
        <v>43.310400000000001</v>
      </c>
      <c r="E181">
        <v>-2.9984500000000001</v>
      </c>
      <c r="F181">
        <v>19323</v>
      </c>
    </row>
    <row r="182" spans="1:6" x14ac:dyDescent="0.3">
      <c r="A182">
        <v>2019</v>
      </c>
      <c r="B182">
        <v>7</v>
      </c>
      <c r="C182">
        <v>1265</v>
      </c>
      <c r="D182">
        <v>43.310400000000001</v>
      </c>
      <c r="E182">
        <v>-2.9984500000000001</v>
      </c>
      <c r="F182">
        <v>15763</v>
      </c>
    </row>
    <row r="183" spans="1:6" x14ac:dyDescent="0.3">
      <c r="A183">
        <v>2019</v>
      </c>
      <c r="B183">
        <v>8</v>
      </c>
      <c r="C183">
        <v>1265</v>
      </c>
      <c r="D183">
        <v>43.310400000000001</v>
      </c>
      <c r="E183">
        <v>-2.9984500000000001</v>
      </c>
      <c r="F183">
        <v>21826</v>
      </c>
    </row>
    <row r="184" spans="1:6" x14ac:dyDescent="0.3">
      <c r="A184">
        <v>2019</v>
      </c>
      <c r="B184">
        <v>9</v>
      </c>
      <c r="C184">
        <v>1265</v>
      </c>
      <c r="D184">
        <v>43.310400000000001</v>
      </c>
      <c r="E184">
        <v>-2.9984500000000001</v>
      </c>
      <c r="F184">
        <v>26249</v>
      </c>
    </row>
    <row r="185" spans="1:6" x14ac:dyDescent="0.3">
      <c r="A185">
        <v>2019</v>
      </c>
      <c r="B185">
        <v>10</v>
      </c>
      <c r="C185">
        <v>1265</v>
      </c>
      <c r="D185">
        <v>43.310400000000001</v>
      </c>
      <c r="E185">
        <v>-2.9984500000000001</v>
      </c>
      <c r="F185">
        <v>9442</v>
      </c>
    </row>
    <row r="186" spans="1:6" x14ac:dyDescent="0.3">
      <c r="A186">
        <v>2019</v>
      </c>
      <c r="B186">
        <v>11</v>
      </c>
      <c r="C186">
        <v>1265</v>
      </c>
      <c r="D186">
        <v>43.310400000000001</v>
      </c>
      <c r="E186">
        <v>-2.9984500000000001</v>
      </c>
      <c r="F186">
        <v>33465</v>
      </c>
    </row>
    <row r="187" spans="1:6" x14ac:dyDescent="0.3">
      <c r="A187">
        <v>2019</v>
      </c>
      <c r="B187">
        <v>12</v>
      </c>
      <c r="C187">
        <v>1265</v>
      </c>
      <c r="D187">
        <v>43.310400000000001</v>
      </c>
      <c r="E187">
        <v>-2.9984500000000001</v>
      </c>
      <c r="F187">
        <v>17628</v>
      </c>
    </row>
    <row r="188" spans="1:6" x14ac:dyDescent="0.3">
      <c r="A188">
        <v>2020</v>
      </c>
      <c r="B188">
        <v>1</v>
      </c>
      <c r="C188">
        <v>1265</v>
      </c>
      <c r="D188">
        <v>43.310400000000001</v>
      </c>
      <c r="E188">
        <v>-2.9984500000000001</v>
      </c>
      <c r="F188">
        <v>26826</v>
      </c>
    </row>
    <row r="189" spans="1:6" x14ac:dyDescent="0.3">
      <c r="A189">
        <v>2020</v>
      </c>
      <c r="B189">
        <v>2</v>
      </c>
      <c r="C189">
        <v>1265</v>
      </c>
      <c r="D189">
        <v>43.310400000000001</v>
      </c>
      <c r="E189">
        <v>-2.9984500000000001</v>
      </c>
      <c r="F189">
        <v>29718</v>
      </c>
    </row>
    <row r="190" spans="1:6" x14ac:dyDescent="0.3">
      <c r="A190">
        <v>2020</v>
      </c>
      <c r="B190">
        <v>3</v>
      </c>
      <c r="C190">
        <v>1265</v>
      </c>
      <c r="D190">
        <v>43.310400000000001</v>
      </c>
      <c r="E190">
        <v>-2.9984500000000001</v>
      </c>
      <c r="F190">
        <v>38848</v>
      </c>
    </row>
    <row r="191" spans="1:6" x14ac:dyDescent="0.3">
      <c r="A191">
        <v>2020</v>
      </c>
      <c r="B191">
        <v>4</v>
      </c>
      <c r="C191">
        <v>1265</v>
      </c>
      <c r="D191">
        <v>43.310400000000001</v>
      </c>
      <c r="E191">
        <v>-2.9984500000000001</v>
      </c>
      <c r="F191">
        <v>0</v>
      </c>
    </row>
    <row r="192" spans="1:6" x14ac:dyDescent="0.3">
      <c r="A192">
        <v>2020</v>
      </c>
      <c r="B192">
        <v>5</v>
      </c>
      <c r="C192">
        <v>1265</v>
      </c>
      <c r="D192">
        <v>43.310400000000001</v>
      </c>
      <c r="E192">
        <v>-2.9984500000000001</v>
      </c>
      <c r="F192">
        <v>0</v>
      </c>
    </row>
    <row r="193" spans="1:6" x14ac:dyDescent="0.3">
      <c r="A193">
        <v>2020</v>
      </c>
      <c r="B193">
        <v>6</v>
      </c>
      <c r="C193">
        <v>1265</v>
      </c>
      <c r="D193">
        <v>43.310400000000001</v>
      </c>
      <c r="E193">
        <v>-2.9984500000000001</v>
      </c>
      <c r="F193">
        <v>0</v>
      </c>
    </row>
    <row r="194" spans="1:6" x14ac:dyDescent="0.3">
      <c r="A194">
        <v>2020</v>
      </c>
      <c r="B194">
        <v>7</v>
      </c>
      <c r="C194">
        <v>1265</v>
      </c>
      <c r="D194">
        <v>43.310400000000001</v>
      </c>
      <c r="E194">
        <v>-2.9984500000000001</v>
      </c>
      <c r="F194">
        <v>0</v>
      </c>
    </row>
    <row r="195" spans="1:6" x14ac:dyDescent="0.3">
      <c r="A195">
        <v>2020</v>
      </c>
      <c r="B195">
        <v>8</v>
      </c>
      <c r="C195">
        <v>1265</v>
      </c>
      <c r="D195">
        <v>43.310400000000001</v>
      </c>
      <c r="E195">
        <v>-2.9984500000000001</v>
      </c>
      <c r="F195">
        <v>0</v>
      </c>
    </row>
    <row r="196" spans="1:6" x14ac:dyDescent="0.3">
      <c r="A196">
        <v>2020</v>
      </c>
      <c r="B196">
        <v>9</v>
      </c>
      <c r="C196">
        <v>1265</v>
      </c>
      <c r="D196">
        <v>43.310400000000001</v>
      </c>
      <c r="E196">
        <v>-2.9984500000000001</v>
      </c>
      <c r="F196">
        <v>13285</v>
      </c>
    </row>
    <row r="197" spans="1:6" x14ac:dyDescent="0.3">
      <c r="A197">
        <v>2020</v>
      </c>
      <c r="B197">
        <v>10</v>
      </c>
      <c r="C197">
        <v>1265</v>
      </c>
      <c r="D197">
        <v>43.310400000000001</v>
      </c>
      <c r="E197">
        <v>-2.9984500000000001</v>
      </c>
      <c r="F197">
        <v>46635</v>
      </c>
    </row>
    <row r="198" spans="1:6" x14ac:dyDescent="0.3">
      <c r="A198">
        <v>2020</v>
      </c>
      <c r="B198">
        <v>11</v>
      </c>
      <c r="C198">
        <v>1265</v>
      </c>
      <c r="D198">
        <v>43.310400000000001</v>
      </c>
      <c r="E198">
        <v>-2.9984500000000001</v>
      </c>
      <c r="F198">
        <v>37167</v>
      </c>
    </row>
    <row r="199" spans="1:6" x14ac:dyDescent="0.3">
      <c r="A199">
        <v>2020</v>
      </c>
      <c r="B199">
        <v>12</v>
      </c>
      <c r="C199">
        <v>1265</v>
      </c>
      <c r="D199">
        <v>43.310400000000001</v>
      </c>
      <c r="E199">
        <v>-2.9984500000000001</v>
      </c>
      <c r="F199">
        <v>38402</v>
      </c>
    </row>
    <row r="200" spans="1:6" x14ac:dyDescent="0.3">
      <c r="A200">
        <v>2021</v>
      </c>
      <c r="B200">
        <v>1</v>
      </c>
      <c r="C200">
        <v>1265</v>
      </c>
      <c r="D200">
        <v>43.310400000000001</v>
      </c>
      <c r="E200">
        <v>-2.9984500000000001</v>
      </c>
      <c r="F200">
        <v>41461</v>
      </c>
    </row>
    <row r="201" spans="1:6" x14ac:dyDescent="0.3">
      <c r="A201">
        <v>2021</v>
      </c>
      <c r="B201">
        <v>2</v>
      </c>
      <c r="C201">
        <v>1265</v>
      </c>
      <c r="D201">
        <v>43.310400000000001</v>
      </c>
      <c r="E201">
        <v>-2.9984500000000001</v>
      </c>
      <c r="F201">
        <v>49350</v>
      </c>
    </row>
    <row r="202" spans="1:6" x14ac:dyDescent="0.3">
      <c r="A202">
        <v>2021</v>
      </c>
      <c r="B202">
        <v>3</v>
      </c>
      <c r="C202">
        <v>1265</v>
      </c>
      <c r="D202">
        <v>43.310400000000001</v>
      </c>
      <c r="E202">
        <v>-2.9984500000000001</v>
      </c>
      <c r="F202">
        <v>51131</v>
      </c>
    </row>
    <row r="203" spans="1:6" x14ac:dyDescent="0.3">
      <c r="A203">
        <v>2021</v>
      </c>
      <c r="B203">
        <v>4</v>
      </c>
      <c r="C203">
        <v>1265</v>
      </c>
      <c r="D203">
        <v>43.310400000000001</v>
      </c>
      <c r="E203">
        <v>-2.9984500000000001</v>
      </c>
      <c r="F203">
        <v>66690</v>
      </c>
    </row>
    <row r="204" spans="1:6" x14ac:dyDescent="0.3">
      <c r="A204">
        <v>2021</v>
      </c>
      <c r="B204">
        <v>5</v>
      </c>
      <c r="C204">
        <v>1265</v>
      </c>
      <c r="D204">
        <v>43.310400000000001</v>
      </c>
      <c r="E204">
        <v>-2.9984500000000001</v>
      </c>
      <c r="F204">
        <v>68021</v>
      </c>
    </row>
    <row r="205" spans="1:6" x14ac:dyDescent="0.3">
      <c r="A205">
        <v>2021</v>
      </c>
      <c r="B205">
        <v>6</v>
      </c>
      <c r="C205">
        <v>1265</v>
      </c>
      <c r="D205">
        <v>43.310400000000001</v>
      </c>
      <c r="E205">
        <v>-2.9984500000000001</v>
      </c>
      <c r="F205">
        <v>64828</v>
      </c>
    </row>
    <row r="206" spans="1:6" x14ac:dyDescent="0.3">
      <c r="A206">
        <v>2021</v>
      </c>
      <c r="B206">
        <v>7</v>
      </c>
      <c r="C206">
        <v>1265</v>
      </c>
      <c r="D206">
        <v>43.310400000000001</v>
      </c>
      <c r="E206">
        <v>-2.9984500000000001</v>
      </c>
      <c r="F206">
        <v>70895</v>
      </c>
    </row>
    <row r="207" spans="1:6" x14ac:dyDescent="0.3">
      <c r="A207">
        <v>2021</v>
      </c>
      <c r="B207">
        <v>8</v>
      </c>
      <c r="C207">
        <v>1265</v>
      </c>
      <c r="D207">
        <v>43.310400000000001</v>
      </c>
      <c r="E207">
        <v>-2.9984500000000001</v>
      </c>
      <c r="F207">
        <v>67011</v>
      </c>
    </row>
    <row r="208" spans="1:6" x14ac:dyDescent="0.3">
      <c r="A208">
        <v>2021</v>
      </c>
      <c r="B208">
        <v>9</v>
      </c>
      <c r="C208">
        <v>1265</v>
      </c>
      <c r="D208">
        <v>43.310400000000001</v>
      </c>
      <c r="E208">
        <v>-2.9984500000000001</v>
      </c>
      <c r="F208">
        <v>47289</v>
      </c>
    </row>
    <row r="209" spans="1:6" x14ac:dyDescent="0.3">
      <c r="A209">
        <v>2021</v>
      </c>
      <c r="B209">
        <v>10</v>
      </c>
      <c r="C209">
        <v>1265</v>
      </c>
      <c r="D209">
        <v>43.310400000000001</v>
      </c>
      <c r="E209">
        <v>-2.9984500000000001</v>
      </c>
      <c r="F209">
        <v>66469</v>
      </c>
    </row>
    <row r="210" spans="1:6" x14ac:dyDescent="0.3">
      <c r="A210">
        <v>2021</v>
      </c>
      <c r="B210">
        <v>11</v>
      </c>
      <c r="C210">
        <v>1265</v>
      </c>
      <c r="D210">
        <v>43.310400000000001</v>
      </c>
      <c r="E210">
        <v>-2.9984500000000001</v>
      </c>
      <c r="F210">
        <v>48831</v>
      </c>
    </row>
    <row r="211" spans="1:6" x14ac:dyDescent="0.3">
      <c r="A211">
        <v>2021</v>
      </c>
      <c r="B211">
        <v>12</v>
      </c>
      <c r="C211">
        <v>1265</v>
      </c>
      <c r="D211">
        <v>43.310400000000001</v>
      </c>
      <c r="E211">
        <v>-2.9984500000000001</v>
      </c>
      <c r="F211">
        <v>7284</v>
      </c>
    </row>
    <row r="212" spans="1:6" x14ac:dyDescent="0.3">
      <c r="A212">
        <v>2022</v>
      </c>
      <c r="B212">
        <v>1</v>
      </c>
      <c r="C212">
        <v>1265</v>
      </c>
      <c r="D212">
        <v>43.310400000000001</v>
      </c>
      <c r="E212">
        <v>-2.9984500000000001</v>
      </c>
      <c r="F212">
        <v>0</v>
      </c>
    </row>
    <row r="213" spans="1:6" x14ac:dyDescent="0.3">
      <c r="A213">
        <v>2022</v>
      </c>
      <c r="B213">
        <v>2</v>
      </c>
      <c r="C213">
        <v>1265</v>
      </c>
      <c r="D213">
        <v>43.310400000000001</v>
      </c>
      <c r="E213">
        <v>-2.9984500000000001</v>
      </c>
      <c r="F213">
        <v>0</v>
      </c>
    </row>
    <row r="214" spans="1:6" x14ac:dyDescent="0.3">
      <c r="A214">
        <v>2022</v>
      </c>
      <c r="B214">
        <v>3</v>
      </c>
      <c r="C214">
        <v>1265</v>
      </c>
      <c r="D214">
        <v>43.310400000000001</v>
      </c>
      <c r="E214">
        <v>-2.9984500000000001</v>
      </c>
      <c r="F214">
        <v>13578</v>
      </c>
    </row>
    <row r="215" spans="1:6" x14ac:dyDescent="0.3">
      <c r="A215">
        <v>2022</v>
      </c>
      <c r="B215">
        <v>4</v>
      </c>
      <c r="C215">
        <v>1265</v>
      </c>
      <c r="D215">
        <v>43.310400000000001</v>
      </c>
      <c r="E215">
        <v>-2.9984500000000001</v>
      </c>
      <c r="F215">
        <v>30081</v>
      </c>
    </row>
    <row r="216" spans="1:6" x14ac:dyDescent="0.3">
      <c r="A216">
        <v>2022</v>
      </c>
      <c r="B216">
        <v>5</v>
      </c>
      <c r="C216">
        <v>1265</v>
      </c>
      <c r="D216">
        <v>43.310400000000001</v>
      </c>
      <c r="E216">
        <v>-2.9984500000000001</v>
      </c>
      <c r="F216">
        <v>34281</v>
      </c>
    </row>
    <row r="217" spans="1:6" x14ac:dyDescent="0.3">
      <c r="A217">
        <v>2022</v>
      </c>
      <c r="B217">
        <v>6</v>
      </c>
      <c r="C217">
        <v>1265</v>
      </c>
      <c r="D217">
        <v>43.310400000000001</v>
      </c>
      <c r="E217">
        <v>-2.9984500000000001</v>
      </c>
      <c r="F217">
        <v>31878</v>
      </c>
    </row>
    <row r="218" spans="1:6" x14ac:dyDescent="0.3">
      <c r="A218">
        <v>2018</v>
      </c>
      <c r="B218">
        <v>1</v>
      </c>
      <c r="C218">
        <v>1119</v>
      </c>
      <c r="D218">
        <v>43.309899999999999</v>
      </c>
      <c r="E218">
        <v>-3.0207700000000002</v>
      </c>
      <c r="F218">
        <v>43072</v>
      </c>
    </row>
    <row r="219" spans="1:6" x14ac:dyDescent="0.3">
      <c r="A219">
        <v>2018</v>
      </c>
      <c r="B219">
        <v>2</v>
      </c>
      <c r="C219">
        <v>1119</v>
      </c>
      <c r="D219">
        <v>43.309899999999999</v>
      </c>
      <c r="E219">
        <v>-3.0207700000000002</v>
      </c>
      <c r="F219">
        <v>58049</v>
      </c>
    </row>
    <row r="220" spans="1:6" x14ac:dyDescent="0.3">
      <c r="A220">
        <v>2018</v>
      </c>
      <c r="B220">
        <v>3</v>
      </c>
      <c r="C220">
        <v>1119</v>
      </c>
      <c r="D220">
        <v>43.309899999999999</v>
      </c>
      <c r="E220">
        <v>-3.0207700000000002</v>
      </c>
      <c r="F220">
        <v>58392</v>
      </c>
    </row>
    <row r="221" spans="1:6" x14ac:dyDescent="0.3">
      <c r="A221">
        <v>2018</v>
      </c>
      <c r="B221">
        <v>4</v>
      </c>
      <c r="C221">
        <v>1119</v>
      </c>
      <c r="D221">
        <v>43.309899999999999</v>
      </c>
      <c r="E221">
        <v>-3.0207700000000002</v>
      </c>
      <c r="F221">
        <v>63843</v>
      </c>
    </row>
    <row r="222" spans="1:6" x14ac:dyDescent="0.3">
      <c r="A222">
        <v>2018</v>
      </c>
      <c r="B222">
        <v>5</v>
      </c>
      <c r="C222">
        <v>1119</v>
      </c>
      <c r="D222">
        <v>43.309899999999999</v>
      </c>
      <c r="E222">
        <v>-3.0207700000000002</v>
      </c>
      <c r="F222">
        <v>46378</v>
      </c>
    </row>
    <row r="223" spans="1:6" x14ac:dyDescent="0.3">
      <c r="A223">
        <v>2018</v>
      </c>
      <c r="B223">
        <v>6</v>
      </c>
      <c r="C223">
        <v>1119</v>
      </c>
      <c r="D223">
        <v>43.309899999999999</v>
      </c>
      <c r="E223">
        <v>-3.0207700000000002</v>
      </c>
      <c r="F223">
        <v>63755</v>
      </c>
    </row>
    <row r="224" spans="1:6" x14ac:dyDescent="0.3">
      <c r="A224">
        <v>2018</v>
      </c>
      <c r="B224">
        <v>7</v>
      </c>
      <c r="C224">
        <v>1119</v>
      </c>
      <c r="D224">
        <v>43.309899999999999</v>
      </c>
      <c r="E224">
        <v>-3.0207700000000002</v>
      </c>
      <c r="F224">
        <v>0</v>
      </c>
    </row>
    <row r="225" spans="1:6" x14ac:dyDescent="0.3">
      <c r="A225">
        <v>2018</v>
      </c>
      <c r="B225">
        <v>8</v>
      </c>
      <c r="C225">
        <v>1119</v>
      </c>
      <c r="D225">
        <v>43.309899999999999</v>
      </c>
      <c r="E225">
        <v>-3.0207700000000002</v>
      </c>
      <c r="F225">
        <v>69786</v>
      </c>
    </row>
    <row r="226" spans="1:6" x14ac:dyDescent="0.3">
      <c r="A226">
        <v>2018</v>
      </c>
      <c r="B226">
        <v>9</v>
      </c>
      <c r="C226">
        <v>1119</v>
      </c>
      <c r="D226">
        <v>43.309899999999999</v>
      </c>
      <c r="E226">
        <v>-3.0207700000000002</v>
      </c>
      <c r="F226">
        <v>57292</v>
      </c>
    </row>
    <row r="227" spans="1:6" x14ac:dyDescent="0.3">
      <c r="A227">
        <v>2018</v>
      </c>
      <c r="B227">
        <v>10</v>
      </c>
      <c r="C227">
        <v>1119</v>
      </c>
      <c r="D227">
        <v>43.309899999999999</v>
      </c>
      <c r="E227">
        <v>-3.0207700000000002</v>
      </c>
      <c r="F227">
        <v>58526</v>
      </c>
    </row>
    <row r="228" spans="1:6" x14ac:dyDescent="0.3">
      <c r="A228">
        <v>2018</v>
      </c>
      <c r="B228">
        <v>11</v>
      </c>
      <c r="C228">
        <v>1119</v>
      </c>
      <c r="D228">
        <v>43.309899999999999</v>
      </c>
      <c r="E228">
        <v>-3.0207700000000002</v>
      </c>
      <c r="F228">
        <v>64642</v>
      </c>
    </row>
    <row r="229" spans="1:6" x14ac:dyDescent="0.3">
      <c r="A229">
        <v>2018</v>
      </c>
      <c r="B229">
        <v>12</v>
      </c>
      <c r="C229">
        <v>1119</v>
      </c>
      <c r="D229">
        <v>43.309899999999999</v>
      </c>
      <c r="E229">
        <v>-3.0207700000000002</v>
      </c>
      <c r="F229">
        <v>41453</v>
      </c>
    </row>
    <row r="230" spans="1:6" x14ac:dyDescent="0.3">
      <c r="A230">
        <v>2019</v>
      </c>
      <c r="B230">
        <v>1</v>
      </c>
      <c r="C230">
        <v>1119</v>
      </c>
      <c r="D230">
        <v>43.309899999999999</v>
      </c>
      <c r="E230">
        <v>-3.0207700000000002</v>
      </c>
      <c r="F230">
        <v>48900</v>
      </c>
    </row>
    <row r="231" spans="1:6" x14ac:dyDescent="0.3">
      <c r="A231">
        <v>2019</v>
      </c>
      <c r="B231">
        <v>2</v>
      </c>
      <c r="C231">
        <v>1119</v>
      </c>
      <c r="D231">
        <v>43.309899999999999</v>
      </c>
      <c r="E231">
        <v>-3.0207700000000002</v>
      </c>
      <c r="F231">
        <v>50202</v>
      </c>
    </row>
    <row r="232" spans="1:6" x14ac:dyDescent="0.3">
      <c r="A232">
        <v>2019</v>
      </c>
      <c r="B232">
        <v>3</v>
      </c>
      <c r="C232">
        <v>1119</v>
      </c>
      <c r="D232">
        <v>43.309899999999999</v>
      </c>
      <c r="E232">
        <v>-3.0207700000000002</v>
      </c>
      <c r="F232">
        <v>68275</v>
      </c>
    </row>
    <row r="233" spans="1:6" x14ac:dyDescent="0.3">
      <c r="A233">
        <v>2019</v>
      </c>
      <c r="B233">
        <v>4</v>
      </c>
      <c r="C233">
        <v>1119</v>
      </c>
      <c r="D233">
        <v>43.309899999999999</v>
      </c>
      <c r="E233">
        <v>-3.0207700000000002</v>
      </c>
      <c r="F233">
        <v>50097</v>
      </c>
    </row>
    <row r="234" spans="1:6" x14ac:dyDescent="0.3">
      <c r="A234">
        <v>2019</v>
      </c>
      <c r="B234">
        <v>5</v>
      </c>
      <c r="C234">
        <v>1119</v>
      </c>
      <c r="D234">
        <v>43.309899999999999</v>
      </c>
      <c r="E234">
        <v>-3.0207700000000002</v>
      </c>
      <c r="F234">
        <v>70426</v>
      </c>
    </row>
    <row r="235" spans="1:6" x14ac:dyDescent="0.3">
      <c r="A235">
        <v>2019</v>
      </c>
      <c r="B235">
        <v>6</v>
      </c>
      <c r="C235">
        <v>1119</v>
      </c>
      <c r="D235">
        <v>43.309899999999999</v>
      </c>
      <c r="E235">
        <v>-3.0207700000000002</v>
      </c>
      <c r="F235">
        <v>62822</v>
      </c>
    </row>
    <row r="236" spans="1:6" x14ac:dyDescent="0.3">
      <c r="A236">
        <v>2019</v>
      </c>
      <c r="B236">
        <v>7</v>
      </c>
      <c r="C236">
        <v>1119</v>
      </c>
      <c r="D236">
        <v>43.309899999999999</v>
      </c>
      <c r="E236">
        <v>-3.0207700000000002</v>
      </c>
      <c r="F236">
        <v>17822</v>
      </c>
    </row>
    <row r="237" spans="1:6" x14ac:dyDescent="0.3">
      <c r="A237">
        <v>2019</v>
      </c>
      <c r="B237">
        <v>8</v>
      </c>
      <c r="C237">
        <v>1119</v>
      </c>
      <c r="D237">
        <v>43.309899999999999</v>
      </c>
      <c r="E237">
        <v>-3.0207700000000002</v>
      </c>
      <c r="F237">
        <v>43220</v>
      </c>
    </row>
    <row r="238" spans="1:6" x14ac:dyDescent="0.3">
      <c r="A238">
        <v>2019</v>
      </c>
      <c r="B238">
        <v>9</v>
      </c>
      <c r="C238">
        <v>1119</v>
      </c>
      <c r="D238">
        <v>43.309899999999999</v>
      </c>
      <c r="E238">
        <v>-3.0207700000000002</v>
      </c>
      <c r="F238">
        <v>55982</v>
      </c>
    </row>
    <row r="239" spans="1:6" x14ac:dyDescent="0.3">
      <c r="A239">
        <v>2019</v>
      </c>
      <c r="B239">
        <v>10</v>
      </c>
      <c r="C239">
        <v>1119</v>
      </c>
      <c r="D239">
        <v>43.309899999999999</v>
      </c>
      <c r="E239">
        <v>-3.0207700000000002</v>
      </c>
      <c r="F239">
        <v>63370</v>
      </c>
    </row>
    <row r="240" spans="1:6" x14ac:dyDescent="0.3">
      <c r="A240">
        <v>2019</v>
      </c>
      <c r="B240">
        <v>11</v>
      </c>
      <c r="C240">
        <v>1119</v>
      </c>
      <c r="D240">
        <v>43.309899999999999</v>
      </c>
      <c r="E240">
        <v>-3.0207700000000002</v>
      </c>
      <c r="F240">
        <v>56308</v>
      </c>
    </row>
    <row r="241" spans="1:6" x14ac:dyDescent="0.3">
      <c r="A241">
        <v>2019</v>
      </c>
      <c r="B241">
        <v>12</v>
      </c>
      <c r="C241">
        <v>1119</v>
      </c>
      <c r="D241">
        <v>43.309899999999999</v>
      </c>
      <c r="E241">
        <v>-3.0207700000000002</v>
      </c>
      <c r="F241">
        <v>46389</v>
      </c>
    </row>
    <row r="242" spans="1:6" x14ac:dyDescent="0.3">
      <c r="A242">
        <v>2020</v>
      </c>
      <c r="B242">
        <v>1</v>
      </c>
      <c r="C242">
        <v>1119</v>
      </c>
      <c r="D242">
        <v>43.309899999999999</v>
      </c>
      <c r="E242">
        <v>-3.0207700000000002</v>
      </c>
      <c r="F242">
        <v>59186</v>
      </c>
    </row>
    <row r="243" spans="1:6" x14ac:dyDescent="0.3">
      <c r="A243">
        <v>2020</v>
      </c>
      <c r="B243">
        <v>2</v>
      </c>
      <c r="C243">
        <v>1119</v>
      </c>
      <c r="D243">
        <v>43.309899999999999</v>
      </c>
      <c r="E243">
        <v>-3.0207700000000002</v>
      </c>
      <c r="F243">
        <v>47312</v>
      </c>
    </row>
    <row r="244" spans="1:6" x14ac:dyDescent="0.3">
      <c r="A244">
        <v>2020</v>
      </c>
      <c r="B244">
        <v>3</v>
      </c>
      <c r="C244">
        <v>1119</v>
      </c>
      <c r="D244">
        <v>43.309899999999999</v>
      </c>
      <c r="E244">
        <v>-3.0207700000000002</v>
      </c>
      <c r="F244">
        <v>57599</v>
      </c>
    </row>
    <row r="245" spans="1:6" x14ac:dyDescent="0.3">
      <c r="A245">
        <v>2020</v>
      </c>
      <c r="B245">
        <v>4</v>
      </c>
      <c r="C245">
        <v>1119</v>
      </c>
      <c r="D245">
        <v>43.309899999999999</v>
      </c>
      <c r="E245">
        <v>-3.0207700000000002</v>
      </c>
      <c r="F245">
        <v>24103</v>
      </c>
    </row>
    <row r="246" spans="1:6" x14ac:dyDescent="0.3">
      <c r="A246">
        <v>2020</v>
      </c>
      <c r="B246">
        <v>5</v>
      </c>
      <c r="C246">
        <v>1119</v>
      </c>
      <c r="D246">
        <v>43.309899999999999</v>
      </c>
      <c r="E246">
        <v>-3.0207700000000002</v>
      </c>
      <c r="F246">
        <v>47698</v>
      </c>
    </row>
    <row r="247" spans="1:6" x14ac:dyDescent="0.3">
      <c r="A247">
        <v>2020</v>
      </c>
      <c r="B247">
        <v>6</v>
      </c>
      <c r="C247">
        <v>1119</v>
      </c>
      <c r="D247">
        <v>43.309899999999999</v>
      </c>
      <c r="E247">
        <v>-3.0207700000000002</v>
      </c>
      <c r="F247">
        <v>60318</v>
      </c>
    </row>
    <row r="248" spans="1:6" x14ac:dyDescent="0.3">
      <c r="A248">
        <v>2020</v>
      </c>
      <c r="B248">
        <v>7</v>
      </c>
      <c r="C248">
        <v>1119</v>
      </c>
      <c r="D248">
        <v>43.309899999999999</v>
      </c>
      <c r="E248">
        <v>-3.0207700000000002</v>
      </c>
      <c r="F248">
        <v>34110</v>
      </c>
    </row>
    <row r="249" spans="1:6" x14ac:dyDescent="0.3">
      <c r="A249">
        <v>2020</v>
      </c>
      <c r="B249">
        <v>8</v>
      </c>
      <c r="C249">
        <v>1119</v>
      </c>
      <c r="D249">
        <v>43.309899999999999</v>
      </c>
      <c r="E249">
        <v>-3.0207700000000002</v>
      </c>
      <c r="F249">
        <v>20214</v>
      </c>
    </row>
    <row r="250" spans="1:6" x14ac:dyDescent="0.3">
      <c r="A250">
        <v>2020</v>
      </c>
      <c r="B250">
        <v>9</v>
      </c>
      <c r="C250">
        <v>1119</v>
      </c>
      <c r="D250">
        <v>43.309899999999999</v>
      </c>
      <c r="E250">
        <v>-3.0207700000000002</v>
      </c>
      <c r="F250">
        <v>54410</v>
      </c>
    </row>
    <row r="251" spans="1:6" x14ac:dyDescent="0.3">
      <c r="A251">
        <v>2020</v>
      </c>
      <c r="B251">
        <v>10</v>
      </c>
      <c r="C251">
        <v>1119</v>
      </c>
      <c r="D251">
        <v>43.309899999999999</v>
      </c>
      <c r="E251">
        <v>-3.0207700000000002</v>
      </c>
      <c r="F251">
        <v>62100</v>
      </c>
    </row>
    <row r="252" spans="1:6" x14ac:dyDescent="0.3">
      <c r="A252">
        <v>2020</v>
      </c>
      <c r="B252">
        <v>11</v>
      </c>
      <c r="C252">
        <v>1119</v>
      </c>
      <c r="D252">
        <v>43.309899999999999</v>
      </c>
      <c r="E252">
        <v>-3.0207700000000002</v>
      </c>
      <c r="F252">
        <v>59023</v>
      </c>
    </row>
    <row r="253" spans="1:6" x14ac:dyDescent="0.3">
      <c r="A253">
        <v>2020</v>
      </c>
      <c r="B253">
        <v>12</v>
      </c>
      <c r="C253">
        <v>1119</v>
      </c>
      <c r="D253">
        <v>43.309899999999999</v>
      </c>
      <c r="E253">
        <v>-3.0207700000000002</v>
      </c>
      <c r="F253">
        <v>41052</v>
      </c>
    </row>
    <row r="254" spans="1:6" x14ac:dyDescent="0.3">
      <c r="A254">
        <v>2021</v>
      </c>
      <c r="B254">
        <v>1</v>
      </c>
      <c r="C254">
        <v>1119</v>
      </c>
      <c r="D254">
        <v>43.309899999999999</v>
      </c>
      <c r="E254">
        <v>-3.0207700000000002</v>
      </c>
      <c r="F254">
        <v>52083</v>
      </c>
    </row>
    <row r="255" spans="1:6" x14ac:dyDescent="0.3">
      <c r="A255">
        <v>2021</v>
      </c>
      <c r="B255">
        <v>2</v>
      </c>
      <c r="C255">
        <v>1119</v>
      </c>
      <c r="D255">
        <v>43.309899999999999</v>
      </c>
      <c r="E255">
        <v>-3.0207700000000002</v>
      </c>
      <c r="F255">
        <v>58524</v>
      </c>
    </row>
    <row r="256" spans="1:6" x14ac:dyDescent="0.3">
      <c r="A256">
        <v>2021</v>
      </c>
      <c r="B256">
        <v>3</v>
      </c>
      <c r="C256">
        <v>1119</v>
      </c>
      <c r="D256">
        <v>43.309899999999999</v>
      </c>
      <c r="E256">
        <v>-3.0207700000000002</v>
      </c>
      <c r="F256">
        <v>60861</v>
      </c>
    </row>
    <row r="257" spans="1:6" x14ac:dyDescent="0.3">
      <c r="A257">
        <v>2021</v>
      </c>
      <c r="B257">
        <v>4</v>
      </c>
      <c r="C257">
        <v>1119</v>
      </c>
      <c r="D257">
        <v>43.309899999999999</v>
      </c>
      <c r="E257">
        <v>-3.0207700000000002</v>
      </c>
      <c r="F257">
        <v>52871</v>
      </c>
    </row>
    <row r="258" spans="1:6" x14ac:dyDescent="0.3">
      <c r="A258">
        <v>2021</v>
      </c>
      <c r="B258">
        <v>5</v>
      </c>
      <c r="C258">
        <v>1119</v>
      </c>
      <c r="D258">
        <v>43.309899999999999</v>
      </c>
      <c r="E258">
        <v>-3.0207700000000002</v>
      </c>
      <c r="F258">
        <v>57526</v>
      </c>
    </row>
    <row r="259" spans="1:6" x14ac:dyDescent="0.3">
      <c r="A259">
        <v>2021</v>
      </c>
      <c r="B259">
        <v>6</v>
      </c>
      <c r="C259">
        <v>1119</v>
      </c>
      <c r="D259">
        <v>43.309899999999999</v>
      </c>
      <c r="E259">
        <v>-3.0207700000000002</v>
      </c>
      <c r="F259">
        <v>59247</v>
      </c>
    </row>
    <row r="260" spans="1:6" x14ac:dyDescent="0.3">
      <c r="A260">
        <v>2021</v>
      </c>
      <c r="B260">
        <v>7</v>
      </c>
      <c r="C260">
        <v>1119</v>
      </c>
      <c r="D260">
        <v>43.309899999999999</v>
      </c>
      <c r="E260">
        <v>-3.0207700000000002</v>
      </c>
      <c r="F260">
        <v>45854</v>
      </c>
    </row>
    <row r="261" spans="1:6" x14ac:dyDescent="0.3">
      <c r="A261">
        <v>2021</v>
      </c>
      <c r="B261">
        <v>8</v>
      </c>
      <c r="C261">
        <v>1119</v>
      </c>
      <c r="D261">
        <v>43.309899999999999</v>
      </c>
      <c r="E261">
        <v>-3.0207700000000002</v>
      </c>
      <c r="F261">
        <v>13902</v>
      </c>
    </row>
    <row r="262" spans="1:6" x14ac:dyDescent="0.3">
      <c r="A262">
        <v>2021</v>
      </c>
      <c r="B262">
        <v>9</v>
      </c>
      <c r="C262">
        <v>1119</v>
      </c>
      <c r="D262">
        <v>43.309899999999999</v>
      </c>
      <c r="E262">
        <v>-3.0207700000000002</v>
      </c>
      <c r="F262">
        <v>59414</v>
      </c>
    </row>
    <row r="263" spans="1:6" x14ac:dyDescent="0.3">
      <c r="A263">
        <v>2021</v>
      </c>
      <c r="B263">
        <v>10</v>
      </c>
      <c r="C263">
        <v>1119</v>
      </c>
      <c r="D263">
        <v>43.309899999999999</v>
      </c>
      <c r="E263">
        <v>-3.0207700000000002</v>
      </c>
      <c r="F263">
        <v>58968</v>
      </c>
    </row>
    <row r="264" spans="1:6" x14ac:dyDescent="0.3">
      <c r="A264">
        <v>2021</v>
      </c>
      <c r="B264">
        <v>11</v>
      </c>
      <c r="C264">
        <v>1119</v>
      </c>
      <c r="D264">
        <v>43.309899999999999</v>
      </c>
      <c r="E264">
        <v>-3.0207700000000002</v>
      </c>
      <c r="F264">
        <v>61182</v>
      </c>
    </row>
    <row r="265" spans="1:6" x14ac:dyDescent="0.3">
      <c r="A265">
        <v>2021</v>
      </c>
      <c r="B265">
        <v>12</v>
      </c>
      <c r="C265">
        <v>1119</v>
      </c>
      <c r="D265">
        <v>43.309899999999999</v>
      </c>
      <c r="E265">
        <v>-3.0207700000000002</v>
      </c>
      <c r="F265">
        <v>34704</v>
      </c>
    </row>
    <row r="266" spans="1:6" x14ac:dyDescent="0.3">
      <c r="A266">
        <v>2022</v>
      </c>
      <c r="B266">
        <v>1</v>
      </c>
      <c r="C266">
        <v>1119</v>
      </c>
      <c r="D266">
        <v>43.309899999999999</v>
      </c>
      <c r="E266">
        <v>-3.0207700000000002</v>
      </c>
      <c r="F266">
        <v>37701</v>
      </c>
    </row>
    <row r="267" spans="1:6" x14ac:dyDescent="0.3">
      <c r="A267">
        <v>2022</v>
      </c>
      <c r="B267">
        <v>2</v>
      </c>
      <c r="C267">
        <v>1119</v>
      </c>
      <c r="D267">
        <v>43.309899999999999</v>
      </c>
      <c r="E267">
        <v>-3.0207700000000002</v>
      </c>
      <c r="F267">
        <v>39576</v>
      </c>
    </row>
    <row r="268" spans="1:6" x14ac:dyDescent="0.3">
      <c r="A268">
        <v>2022</v>
      </c>
      <c r="B268">
        <v>3</v>
      </c>
      <c r="C268">
        <v>1119</v>
      </c>
      <c r="D268">
        <v>43.309899999999999</v>
      </c>
      <c r="E268">
        <v>-3.0207700000000002</v>
      </c>
      <c r="F268">
        <v>30998</v>
      </c>
    </row>
    <row r="269" spans="1:6" x14ac:dyDescent="0.3">
      <c r="A269">
        <v>2022</v>
      </c>
      <c r="B269">
        <v>4</v>
      </c>
      <c r="C269">
        <v>1119</v>
      </c>
      <c r="D269">
        <v>43.309899999999999</v>
      </c>
      <c r="E269">
        <v>-3.0207700000000002</v>
      </c>
      <c r="F269">
        <v>40511</v>
      </c>
    </row>
    <row r="270" spans="1:6" x14ac:dyDescent="0.3">
      <c r="A270">
        <v>2022</v>
      </c>
      <c r="B270">
        <v>5</v>
      </c>
      <c r="C270">
        <v>1119</v>
      </c>
      <c r="D270">
        <v>43.309899999999999</v>
      </c>
      <c r="E270">
        <v>-3.0207700000000002</v>
      </c>
      <c r="F270">
        <v>52883</v>
      </c>
    </row>
    <row r="271" spans="1:6" x14ac:dyDescent="0.3">
      <c r="A271">
        <v>2022</v>
      </c>
      <c r="B271">
        <v>6</v>
      </c>
      <c r="C271">
        <v>1119</v>
      </c>
      <c r="D271">
        <v>43.309899999999999</v>
      </c>
      <c r="E271">
        <v>-3.0207700000000002</v>
      </c>
      <c r="F271">
        <v>43978</v>
      </c>
    </row>
    <row r="272" spans="1:6" x14ac:dyDescent="0.3">
      <c r="A272">
        <v>2018</v>
      </c>
      <c r="B272">
        <v>1</v>
      </c>
      <c r="C272">
        <v>1190</v>
      </c>
      <c r="D272">
        <v>43.299399999999999</v>
      </c>
      <c r="E272">
        <v>-3.0063599999999999</v>
      </c>
      <c r="F272">
        <v>5424</v>
      </c>
    </row>
    <row r="273" spans="1:6" x14ac:dyDescent="0.3">
      <c r="A273">
        <v>2018</v>
      </c>
      <c r="B273">
        <v>2</v>
      </c>
      <c r="C273">
        <v>1190</v>
      </c>
      <c r="D273">
        <v>43.299399999999999</v>
      </c>
      <c r="E273">
        <v>-3.0063599999999999</v>
      </c>
      <c r="F273">
        <v>6340</v>
      </c>
    </row>
    <row r="274" spans="1:6" x14ac:dyDescent="0.3">
      <c r="A274">
        <v>2018</v>
      </c>
      <c r="B274">
        <v>3</v>
      </c>
      <c r="C274">
        <v>1190</v>
      </c>
      <c r="D274">
        <v>43.299399999999999</v>
      </c>
      <c r="E274">
        <v>-3.0063599999999999</v>
      </c>
      <c r="F274">
        <v>1551</v>
      </c>
    </row>
    <row r="275" spans="1:6" x14ac:dyDescent="0.3">
      <c r="A275">
        <v>2018</v>
      </c>
      <c r="B275">
        <v>4</v>
      </c>
      <c r="C275">
        <v>1190</v>
      </c>
      <c r="D275">
        <v>43.299399999999999</v>
      </c>
      <c r="E275">
        <v>-3.0063599999999999</v>
      </c>
      <c r="F275">
        <v>1159</v>
      </c>
    </row>
    <row r="276" spans="1:6" x14ac:dyDescent="0.3">
      <c r="A276">
        <v>2018</v>
      </c>
      <c r="B276">
        <v>5</v>
      </c>
      <c r="C276">
        <v>1190</v>
      </c>
      <c r="D276">
        <v>43.299399999999999</v>
      </c>
      <c r="E276">
        <v>-3.0063599999999999</v>
      </c>
      <c r="F276">
        <v>6228</v>
      </c>
    </row>
    <row r="277" spans="1:6" x14ac:dyDescent="0.3">
      <c r="A277">
        <v>2018</v>
      </c>
      <c r="B277">
        <v>6</v>
      </c>
      <c r="C277">
        <v>1190</v>
      </c>
      <c r="D277">
        <v>43.299399999999999</v>
      </c>
      <c r="E277">
        <v>-3.0063599999999999</v>
      </c>
      <c r="F277">
        <v>5833</v>
      </c>
    </row>
    <row r="278" spans="1:6" x14ac:dyDescent="0.3">
      <c r="A278">
        <v>2018</v>
      </c>
      <c r="B278">
        <v>7</v>
      </c>
      <c r="C278">
        <v>1190</v>
      </c>
      <c r="D278">
        <v>43.299399999999999</v>
      </c>
      <c r="E278">
        <v>-3.0063599999999999</v>
      </c>
      <c r="F278">
        <v>2535</v>
      </c>
    </row>
    <row r="279" spans="1:6" x14ac:dyDescent="0.3">
      <c r="A279">
        <v>2018</v>
      </c>
      <c r="B279">
        <v>8</v>
      </c>
      <c r="C279">
        <v>1190</v>
      </c>
      <c r="D279">
        <v>43.299399999999999</v>
      </c>
      <c r="E279">
        <v>-3.0063599999999999</v>
      </c>
      <c r="F279">
        <v>0</v>
      </c>
    </row>
    <row r="280" spans="1:6" x14ac:dyDescent="0.3">
      <c r="A280">
        <v>2018</v>
      </c>
      <c r="B280">
        <v>9</v>
      </c>
      <c r="C280">
        <v>1190</v>
      </c>
      <c r="D280">
        <v>43.299399999999999</v>
      </c>
      <c r="E280">
        <v>-3.0063599999999999</v>
      </c>
      <c r="F280">
        <v>5139</v>
      </c>
    </row>
    <row r="281" spans="1:6" x14ac:dyDescent="0.3">
      <c r="A281">
        <v>2018</v>
      </c>
      <c r="B281">
        <v>10</v>
      </c>
      <c r="C281">
        <v>1190</v>
      </c>
      <c r="D281">
        <v>43.299399999999999</v>
      </c>
      <c r="E281">
        <v>-3.0063599999999999</v>
      </c>
      <c r="F281">
        <v>6159</v>
      </c>
    </row>
    <row r="282" spans="1:6" x14ac:dyDescent="0.3">
      <c r="A282">
        <v>2018</v>
      </c>
      <c r="B282">
        <v>11</v>
      </c>
      <c r="C282">
        <v>1190</v>
      </c>
      <c r="D282">
        <v>43.299399999999999</v>
      </c>
      <c r="E282">
        <v>-3.0063599999999999</v>
      </c>
      <c r="F282">
        <v>5736</v>
      </c>
    </row>
    <row r="283" spans="1:6" x14ac:dyDescent="0.3">
      <c r="A283">
        <v>2018</v>
      </c>
      <c r="B283">
        <v>12</v>
      </c>
      <c r="C283">
        <v>1190</v>
      </c>
      <c r="D283">
        <v>43.299399999999999</v>
      </c>
      <c r="E283">
        <v>-3.0063599999999999</v>
      </c>
      <c r="F283">
        <v>3789</v>
      </c>
    </row>
    <row r="284" spans="1:6" x14ac:dyDescent="0.3">
      <c r="A284">
        <v>2019</v>
      </c>
      <c r="B284">
        <v>1</v>
      </c>
      <c r="C284">
        <v>1190</v>
      </c>
      <c r="D284">
        <v>43.299399999999999</v>
      </c>
      <c r="E284">
        <v>-3.0063599999999999</v>
      </c>
      <c r="F284">
        <v>4042</v>
      </c>
    </row>
    <row r="285" spans="1:6" x14ac:dyDescent="0.3">
      <c r="A285">
        <v>2019</v>
      </c>
      <c r="B285">
        <v>2</v>
      </c>
      <c r="C285">
        <v>1190</v>
      </c>
      <c r="D285">
        <v>43.299399999999999</v>
      </c>
      <c r="E285">
        <v>-3.0063599999999999</v>
      </c>
      <c r="F285">
        <v>5284</v>
      </c>
    </row>
    <row r="286" spans="1:6" x14ac:dyDescent="0.3">
      <c r="A286">
        <v>2019</v>
      </c>
      <c r="B286">
        <v>3</v>
      </c>
      <c r="C286">
        <v>1190</v>
      </c>
      <c r="D286">
        <v>43.299399999999999</v>
      </c>
      <c r="E286">
        <v>-3.0063599999999999</v>
      </c>
      <c r="F286">
        <v>5661</v>
      </c>
    </row>
    <row r="287" spans="1:6" x14ac:dyDescent="0.3">
      <c r="A287">
        <v>2019</v>
      </c>
      <c r="B287">
        <v>4</v>
      </c>
      <c r="C287">
        <v>1190</v>
      </c>
      <c r="D287">
        <v>43.299399999999999</v>
      </c>
      <c r="E287">
        <v>-3.0063599999999999</v>
      </c>
      <c r="F287">
        <v>4344</v>
      </c>
    </row>
    <row r="288" spans="1:6" x14ac:dyDescent="0.3">
      <c r="A288">
        <v>2019</v>
      </c>
      <c r="B288">
        <v>5</v>
      </c>
      <c r="C288">
        <v>1190</v>
      </c>
      <c r="D288">
        <v>43.299399999999999</v>
      </c>
      <c r="E288">
        <v>-3.0063599999999999</v>
      </c>
      <c r="F288">
        <v>5284</v>
      </c>
    </row>
    <row r="289" spans="1:6" x14ac:dyDescent="0.3">
      <c r="A289">
        <v>2019</v>
      </c>
      <c r="B289">
        <v>6</v>
      </c>
      <c r="C289">
        <v>1190</v>
      </c>
      <c r="D289">
        <v>43.299399999999999</v>
      </c>
      <c r="E289">
        <v>-3.0063599999999999</v>
      </c>
      <c r="F289">
        <v>4864</v>
      </c>
    </row>
    <row r="290" spans="1:6" x14ac:dyDescent="0.3">
      <c r="A290">
        <v>2019</v>
      </c>
      <c r="B290">
        <v>7</v>
      </c>
      <c r="C290">
        <v>1190</v>
      </c>
      <c r="D290">
        <v>43.299399999999999</v>
      </c>
      <c r="E290">
        <v>-3.0063599999999999</v>
      </c>
      <c r="F290">
        <v>4864</v>
      </c>
    </row>
    <row r="291" spans="1:6" x14ac:dyDescent="0.3">
      <c r="A291">
        <v>2019</v>
      </c>
      <c r="B291">
        <v>8</v>
      </c>
      <c r="C291">
        <v>1190</v>
      </c>
      <c r="D291">
        <v>43.299399999999999</v>
      </c>
      <c r="E291">
        <v>-3.0063599999999999</v>
      </c>
      <c r="F291">
        <v>1321</v>
      </c>
    </row>
    <row r="292" spans="1:6" x14ac:dyDescent="0.3">
      <c r="A292">
        <v>2019</v>
      </c>
      <c r="B292">
        <v>9</v>
      </c>
      <c r="C292">
        <v>1190</v>
      </c>
      <c r="D292">
        <v>43.299399999999999</v>
      </c>
      <c r="E292">
        <v>-3.0063599999999999</v>
      </c>
      <c r="F292">
        <v>6831</v>
      </c>
    </row>
    <row r="293" spans="1:6" x14ac:dyDescent="0.3">
      <c r="A293">
        <v>2019</v>
      </c>
      <c r="B293">
        <v>10</v>
      </c>
      <c r="C293">
        <v>1190</v>
      </c>
      <c r="D293">
        <v>43.299399999999999</v>
      </c>
      <c r="E293">
        <v>-3.0063599999999999</v>
      </c>
      <c r="F293">
        <v>7532</v>
      </c>
    </row>
    <row r="294" spans="1:6" x14ac:dyDescent="0.3">
      <c r="A294">
        <v>2019</v>
      </c>
      <c r="B294">
        <v>11</v>
      </c>
      <c r="C294">
        <v>1190</v>
      </c>
      <c r="D294">
        <v>43.299399999999999</v>
      </c>
      <c r="E294">
        <v>-3.0063599999999999</v>
      </c>
      <c r="F294">
        <v>4754</v>
      </c>
    </row>
    <row r="295" spans="1:6" x14ac:dyDescent="0.3">
      <c r="A295">
        <v>2019</v>
      </c>
      <c r="B295">
        <v>12</v>
      </c>
      <c r="C295">
        <v>1190</v>
      </c>
      <c r="D295">
        <v>43.299399999999999</v>
      </c>
      <c r="E295">
        <v>-3.0063599999999999</v>
      </c>
      <c r="F295">
        <v>3779</v>
      </c>
    </row>
    <row r="296" spans="1:6" x14ac:dyDescent="0.3">
      <c r="A296">
        <v>2020</v>
      </c>
      <c r="B296">
        <v>1</v>
      </c>
      <c r="C296">
        <v>1190</v>
      </c>
      <c r="D296">
        <v>43.299399999999999</v>
      </c>
      <c r="E296">
        <v>-3.0063599999999999</v>
      </c>
      <c r="F296">
        <v>5990</v>
      </c>
    </row>
    <row r="297" spans="1:6" x14ac:dyDescent="0.3">
      <c r="A297">
        <v>2020</v>
      </c>
      <c r="B297">
        <v>2</v>
      </c>
      <c r="C297">
        <v>1190</v>
      </c>
      <c r="D297">
        <v>43.299399999999999</v>
      </c>
      <c r="E297">
        <v>-3.0063599999999999</v>
      </c>
      <c r="F297">
        <v>5990</v>
      </c>
    </row>
    <row r="298" spans="1:6" x14ac:dyDescent="0.3">
      <c r="A298">
        <v>2020</v>
      </c>
      <c r="B298">
        <v>3</v>
      </c>
      <c r="C298">
        <v>1190</v>
      </c>
      <c r="D298">
        <v>43.299399999999999</v>
      </c>
      <c r="E298">
        <v>-3.0063599999999999</v>
      </c>
      <c r="F298">
        <v>5990</v>
      </c>
    </row>
    <row r="299" spans="1:6" x14ac:dyDescent="0.3">
      <c r="A299">
        <v>2020</v>
      </c>
      <c r="B299">
        <v>4</v>
      </c>
      <c r="C299">
        <v>1190</v>
      </c>
      <c r="D299">
        <v>43.299399999999999</v>
      </c>
      <c r="E299">
        <v>-3.0063599999999999</v>
      </c>
      <c r="F299">
        <v>2364</v>
      </c>
    </row>
    <row r="300" spans="1:6" x14ac:dyDescent="0.3">
      <c r="A300">
        <v>2020</v>
      </c>
      <c r="B300">
        <v>5</v>
      </c>
      <c r="C300">
        <v>1190</v>
      </c>
      <c r="D300">
        <v>43.299399999999999</v>
      </c>
      <c r="E300">
        <v>-3.0063599999999999</v>
      </c>
      <c r="F300">
        <v>4645</v>
      </c>
    </row>
    <row r="301" spans="1:6" x14ac:dyDescent="0.3">
      <c r="A301">
        <v>2020</v>
      </c>
      <c r="B301">
        <v>6</v>
      </c>
      <c r="C301">
        <v>1190</v>
      </c>
      <c r="D301">
        <v>43.299399999999999</v>
      </c>
      <c r="E301">
        <v>-3.0063599999999999</v>
      </c>
      <c r="F301">
        <v>4887</v>
      </c>
    </row>
    <row r="302" spans="1:6" x14ac:dyDescent="0.3">
      <c r="A302">
        <v>2020</v>
      </c>
      <c r="B302">
        <v>7</v>
      </c>
      <c r="C302">
        <v>1190</v>
      </c>
      <c r="D302">
        <v>43.299399999999999</v>
      </c>
      <c r="E302">
        <v>-3.0063599999999999</v>
      </c>
      <c r="F302">
        <v>1807</v>
      </c>
    </row>
    <row r="303" spans="1:6" x14ac:dyDescent="0.3">
      <c r="A303">
        <v>2020</v>
      </c>
      <c r="B303">
        <v>8</v>
      </c>
      <c r="C303">
        <v>1190</v>
      </c>
      <c r="D303">
        <v>43.299399999999999</v>
      </c>
      <c r="E303">
        <v>-3.0063599999999999</v>
      </c>
      <c r="F303">
        <v>248</v>
      </c>
    </row>
    <row r="304" spans="1:6" x14ac:dyDescent="0.3">
      <c r="A304">
        <v>2020</v>
      </c>
      <c r="B304">
        <v>9</v>
      </c>
      <c r="C304">
        <v>1190</v>
      </c>
      <c r="D304">
        <v>43.299399999999999</v>
      </c>
      <c r="E304">
        <v>-3.0063599999999999</v>
      </c>
      <c r="F304">
        <v>5978</v>
      </c>
    </row>
    <row r="305" spans="1:6" x14ac:dyDescent="0.3">
      <c r="A305">
        <v>2020</v>
      </c>
      <c r="B305">
        <v>10</v>
      </c>
      <c r="C305">
        <v>1190</v>
      </c>
      <c r="D305">
        <v>43.299399999999999</v>
      </c>
      <c r="E305">
        <v>-3.0063599999999999</v>
      </c>
      <c r="F305">
        <v>6797</v>
      </c>
    </row>
    <row r="306" spans="1:6" x14ac:dyDescent="0.3">
      <c r="A306">
        <v>2020</v>
      </c>
      <c r="B306">
        <v>11</v>
      </c>
      <c r="C306">
        <v>1190</v>
      </c>
      <c r="D306">
        <v>43.299399999999999</v>
      </c>
      <c r="E306">
        <v>-3.0063599999999999</v>
      </c>
      <c r="F306">
        <v>5719</v>
      </c>
    </row>
    <row r="307" spans="1:6" x14ac:dyDescent="0.3">
      <c r="A307">
        <v>2020</v>
      </c>
      <c r="B307">
        <v>12</v>
      </c>
      <c r="C307">
        <v>1190</v>
      </c>
      <c r="D307">
        <v>43.299399999999999</v>
      </c>
      <c r="E307">
        <v>-3.0063599999999999</v>
      </c>
      <c r="F307">
        <v>3630</v>
      </c>
    </row>
    <row r="308" spans="1:6" x14ac:dyDescent="0.3">
      <c r="A308">
        <v>2021</v>
      </c>
      <c r="B308">
        <v>1</v>
      </c>
      <c r="C308">
        <v>1190</v>
      </c>
      <c r="D308">
        <v>43.299399999999999</v>
      </c>
      <c r="E308">
        <v>-3.0063599999999999</v>
      </c>
      <c r="F308">
        <v>2400</v>
      </c>
    </row>
    <row r="309" spans="1:6" x14ac:dyDescent="0.3">
      <c r="A309">
        <v>2021</v>
      </c>
      <c r="B309">
        <v>2</v>
      </c>
      <c r="C309">
        <v>1190</v>
      </c>
      <c r="D309">
        <v>43.299399999999999</v>
      </c>
      <c r="E309">
        <v>-3.0063599999999999</v>
      </c>
      <c r="F309">
        <v>5931</v>
      </c>
    </row>
    <row r="310" spans="1:6" x14ac:dyDescent="0.3">
      <c r="A310">
        <v>2021</v>
      </c>
      <c r="B310">
        <v>3</v>
      </c>
      <c r="C310">
        <v>1190</v>
      </c>
      <c r="D310">
        <v>43.299399999999999</v>
      </c>
      <c r="E310">
        <v>-3.0063599999999999</v>
      </c>
      <c r="F310">
        <v>5741</v>
      </c>
    </row>
    <row r="311" spans="1:6" x14ac:dyDescent="0.3">
      <c r="A311">
        <v>2021</v>
      </c>
      <c r="B311">
        <v>4</v>
      </c>
      <c r="C311">
        <v>1190</v>
      </c>
      <c r="D311">
        <v>43.299399999999999</v>
      </c>
      <c r="E311">
        <v>-3.0063599999999999</v>
      </c>
      <c r="F311">
        <v>3859</v>
      </c>
    </row>
    <row r="312" spans="1:6" x14ac:dyDescent="0.3">
      <c r="A312">
        <v>2021</v>
      </c>
      <c r="B312">
        <v>5</v>
      </c>
      <c r="C312">
        <v>1190</v>
      </c>
      <c r="D312">
        <v>43.299399999999999</v>
      </c>
      <c r="E312">
        <v>-3.0063599999999999</v>
      </c>
      <c r="F312">
        <v>4023</v>
      </c>
    </row>
    <row r="313" spans="1:6" x14ac:dyDescent="0.3">
      <c r="A313">
        <v>2021</v>
      </c>
      <c r="B313">
        <v>6</v>
      </c>
      <c r="C313">
        <v>1190</v>
      </c>
      <c r="D313">
        <v>43.299399999999999</v>
      </c>
      <c r="E313">
        <v>-3.0063599999999999</v>
      </c>
      <c r="F313">
        <v>6005</v>
      </c>
    </row>
    <row r="314" spans="1:6" x14ac:dyDescent="0.3">
      <c r="A314">
        <v>2021</v>
      </c>
      <c r="B314">
        <v>7</v>
      </c>
      <c r="C314">
        <v>1190</v>
      </c>
      <c r="D314">
        <v>43.299399999999999</v>
      </c>
      <c r="E314">
        <v>-3.0063599999999999</v>
      </c>
      <c r="F314">
        <v>6674</v>
      </c>
    </row>
    <row r="315" spans="1:6" x14ac:dyDescent="0.3">
      <c r="A315">
        <v>2021</v>
      </c>
      <c r="B315">
        <v>8</v>
      </c>
      <c r="C315">
        <v>1190</v>
      </c>
      <c r="D315">
        <v>43.299399999999999</v>
      </c>
      <c r="E315">
        <v>-3.0063599999999999</v>
      </c>
      <c r="F315">
        <v>799</v>
      </c>
    </row>
    <row r="316" spans="1:6" x14ac:dyDescent="0.3">
      <c r="A316">
        <v>2021</v>
      </c>
      <c r="B316">
        <v>9</v>
      </c>
      <c r="C316">
        <v>1190</v>
      </c>
      <c r="D316">
        <v>43.299399999999999</v>
      </c>
      <c r="E316">
        <v>-3.0063599999999999</v>
      </c>
      <c r="F316">
        <v>6820</v>
      </c>
    </row>
    <row r="317" spans="1:6" x14ac:dyDescent="0.3">
      <c r="A317">
        <v>2021</v>
      </c>
      <c r="B317">
        <v>10</v>
      </c>
      <c r="C317">
        <v>1190</v>
      </c>
      <c r="D317">
        <v>43.299399999999999</v>
      </c>
      <c r="E317">
        <v>-3.0063599999999999</v>
      </c>
      <c r="F317">
        <v>5913</v>
      </c>
    </row>
    <row r="318" spans="1:6" x14ac:dyDescent="0.3">
      <c r="A318">
        <v>2021</v>
      </c>
      <c r="B318">
        <v>11</v>
      </c>
      <c r="C318">
        <v>1190</v>
      </c>
      <c r="D318">
        <v>43.299399999999999</v>
      </c>
      <c r="E318">
        <v>-3.0063599999999999</v>
      </c>
      <c r="F318">
        <v>6262</v>
      </c>
    </row>
    <row r="319" spans="1:6" x14ac:dyDescent="0.3">
      <c r="A319">
        <v>2021</v>
      </c>
      <c r="B319">
        <v>12</v>
      </c>
      <c r="C319">
        <v>1190</v>
      </c>
      <c r="D319">
        <v>43.299399999999999</v>
      </c>
      <c r="E319">
        <v>-3.0063599999999999</v>
      </c>
      <c r="F319">
        <v>6262</v>
      </c>
    </row>
    <row r="320" spans="1:6" x14ac:dyDescent="0.3">
      <c r="A320">
        <v>2022</v>
      </c>
      <c r="B320">
        <v>1</v>
      </c>
      <c r="C320">
        <v>1190</v>
      </c>
      <c r="D320">
        <v>43.299399999999999</v>
      </c>
      <c r="E320">
        <v>-3.0063599999999999</v>
      </c>
      <c r="F320">
        <v>4670</v>
      </c>
    </row>
    <row r="321" spans="1:6" x14ac:dyDescent="0.3">
      <c r="A321">
        <v>2022</v>
      </c>
      <c r="B321">
        <v>2</v>
      </c>
      <c r="C321">
        <v>1190</v>
      </c>
      <c r="D321">
        <v>43.299399999999999</v>
      </c>
      <c r="E321">
        <v>-3.0063599999999999</v>
      </c>
      <c r="F321">
        <v>6578</v>
      </c>
    </row>
    <row r="322" spans="1:6" x14ac:dyDescent="0.3">
      <c r="A322">
        <v>2022</v>
      </c>
      <c r="B322">
        <v>3</v>
      </c>
      <c r="C322">
        <v>1190</v>
      </c>
      <c r="D322">
        <v>43.299399999999999</v>
      </c>
      <c r="E322">
        <v>-3.0063599999999999</v>
      </c>
      <c r="F322">
        <v>6279</v>
      </c>
    </row>
    <row r="323" spans="1:6" x14ac:dyDescent="0.3">
      <c r="A323">
        <v>2022</v>
      </c>
      <c r="B323">
        <v>4</v>
      </c>
      <c r="C323">
        <v>1190</v>
      </c>
      <c r="D323">
        <v>43.299399999999999</v>
      </c>
      <c r="E323">
        <v>-3.0063599999999999</v>
      </c>
      <c r="F323">
        <v>3726</v>
      </c>
    </row>
    <row r="324" spans="1:6" x14ac:dyDescent="0.3">
      <c r="A324">
        <v>2022</v>
      </c>
      <c r="B324">
        <v>5</v>
      </c>
      <c r="C324">
        <v>1190</v>
      </c>
      <c r="D324">
        <v>43.299399999999999</v>
      </c>
      <c r="E324">
        <v>-3.0063599999999999</v>
      </c>
      <c r="F324">
        <v>6620</v>
      </c>
    </row>
    <row r="325" spans="1:6" x14ac:dyDescent="0.3">
      <c r="A325">
        <v>2022</v>
      </c>
      <c r="B325">
        <v>6</v>
      </c>
      <c r="C325">
        <v>1190</v>
      </c>
      <c r="D325">
        <v>43.299399999999999</v>
      </c>
      <c r="E325">
        <v>-3.0063599999999999</v>
      </c>
      <c r="F325">
        <v>5863</v>
      </c>
    </row>
    <row r="326" spans="1:6" x14ac:dyDescent="0.3">
      <c r="A326">
        <v>2018</v>
      </c>
      <c r="B326">
        <v>1</v>
      </c>
      <c r="C326">
        <v>515</v>
      </c>
      <c r="D326">
        <v>43.268700000000003</v>
      </c>
      <c r="E326">
        <v>-3.1531099999999999</v>
      </c>
      <c r="F326">
        <v>15701</v>
      </c>
    </row>
    <row r="327" spans="1:6" x14ac:dyDescent="0.3">
      <c r="A327">
        <v>2018</v>
      </c>
      <c r="B327">
        <v>2</v>
      </c>
      <c r="C327">
        <v>515</v>
      </c>
      <c r="D327">
        <v>43.268700000000003</v>
      </c>
      <c r="E327">
        <v>-3.1531099999999999</v>
      </c>
      <c r="F327">
        <v>62504</v>
      </c>
    </row>
    <row r="328" spans="1:6" x14ac:dyDescent="0.3">
      <c r="A328">
        <v>2018</v>
      </c>
      <c r="B328">
        <v>3</v>
      </c>
      <c r="C328">
        <v>515</v>
      </c>
      <c r="D328">
        <v>43.268700000000003</v>
      </c>
      <c r="E328">
        <v>-3.1531099999999999</v>
      </c>
      <c r="F328">
        <v>72169</v>
      </c>
    </row>
    <row r="329" spans="1:6" x14ac:dyDescent="0.3">
      <c r="A329">
        <v>2018</v>
      </c>
      <c r="B329">
        <v>4</v>
      </c>
      <c r="C329">
        <v>515</v>
      </c>
      <c r="D329">
        <v>43.268700000000003</v>
      </c>
      <c r="E329">
        <v>-3.1531099999999999</v>
      </c>
      <c r="F329">
        <v>71660</v>
      </c>
    </row>
    <row r="330" spans="1:6" x14ac:dyDescent="0.3">
      <c r="A330">
        <v>2018</v>
      </c>
      <c r="B330">
        <v>5</v>
      </c>
      <c r="C330">
        <v>515</v>
      </c>
      <c r="D330">
        <v>43.268700000000003</v>
      </c>
      <c r="E330">
        <v>-3.1531099999999999</v>
      </c>
      <c r="F330">
        <v>70368</v>
      </c>
    </row>
    <row r="331" spans="1:6" x14ac:dyDescent="0.3">
      <c r="A331">
        <v>2018</v>
      </c>
      <c r="B331">
        <v>6</v>
      </c>
      <c r="C331">
        <v>515</v>
      </c>
      <c r="D331">
        <v>43.268700000000003</v>
      </c>
      <c r="E331">
        <v>-3.1531099999999999</v>
      </c>
      <c r="F331">
        <v>74399</v>
      </c>
    </row>
    <row r="332" spans="1:6" x14ac:dyDescent="0.3">
      <c r="A332">
        <v>2018</v>
      </c>
      <c r="B332">
        <v>7</v>
      </c>
      <c r="C332">
        <v>515</v>
      </c>
      <c r="D332">
        <v>43.268700000000003</v>
      </c>
      <c r="E332">
        <v>-3.1531099999999999</v>
      </c>
      <c r="F332">
        <v>74649</v>
      </c>
    </row>
    <row r="333" spans="1:6" x14ac:dyDescent="0.3">
      <c r="A333">
        <v>2018</v>
      </c>
      <c r="B333">
        <v>8</v>
      </c>
      <c r="C333">
        <v>515</v>
      </c>
      <c r="D333">
        <v>43.268700000000003</v>
      </c>
      <c r="E333">
        <v>-3.1531099999999999</v>
      </c>
      <c r="F333">
        <v>28587</v>
      </c>
    </row>
    <row r="334" spans="1:6" x14ac:dyDescent="0.3">
      <c r="A334">
        <v>2018</v>
      </c>
      <c r="B334">
        <v>9</v>
      </c>
      <c r="C334">
        <v>515</v>
      </c>
      <c r="D334">
        <v>43.268700000000003</v>
      </c>
      <c r="E334">
        <v>-3.1531099999999999</v>
      </c>
      <c r="F334">
        <v>61337</v>
      </c>
    </row>
    <row r="335" spans="1:6" x14ac:dyDescent="0.3">
      <c r="A335">
        <v>2018</v>
      </c>
      <c r="B335">
        <v>10</v>
      </c>
      <c r="C335">
        <v>515</v>
      </c>
      <c r="D335">
        <v>43.268700000000003</v>
      </c>
      <c r="E335">
        <v>-3.1531099999999999</v>
      </c>
      <c r="F335">
        <v>77214</v>
      </c>
    </row>
    <row r="336" spans="1:6" x14ac:dyDescent="0.3">
      <c r="A336">
        <v>2018</v>
      </c>
      <c r="B336">
        <v>11</v>
      </c>
      <c r="C336">
        <v>515</v>
      </c>
      <c r="D336">
        <v>43.268700000000003</v>
      </c>
      <c r="E336">
        <v>-3.1531099999999999</v>
      </c>
      <c r="F336">
        <v>13913</v>
      </c>
    </row>
    <row r="337" spans="1:6" x14ac:dyDescent="0.3">
      <c r="A337">
        <v>2018</v>
      </c>
      <c r="B337">
        <v>12</v>
      </c>
      <c r="C337">
        <v>515</v>
      </c>
      <c r="D337">
        <v>43.268700000000003</v>
      </c>
      <c r="E337">
        <v>-3.1531099999999999</v>
      </c>
      <c r="F337">
        <v>46502</v>
      </c>
    </row>
    <row r="338" spans="1:6" x14ac:dyDescent="0.3">
      <c r="A338">
        <v>2019</v>
      </c>
      <c r="B338">
        <v>1</v>
      </c>
      <c r="C338">
        <v>515</v>
      </c>
      <c r="D338">
        <v>43.268700000000003</v>
      </c>
      <c r="E338">
        <v>-3.1531099999999999</v>
      </c>
      <c r="F338">
        <v>46502</v>
      </c>
    </row>
    <row r="339" spans="1:6" x14ac:dyDescent="0.3">
      <c r="A339">
        <v>2019</v>
      </c>
      <c r="B339">
        <v>2</v>
      </c>
      <c r="C339">
        <v>515</v>
      </c>
      <c r="D339">
        <v>43.268700000000003</v>
      </c>
      <c r="E339">
        <v>-3.1531099999999999</v>
      </c>
      <c r="F339">
        <v>69211</v>
      </c>
    </row>
    <row r="340" spans="1:6" x14ac:dyDescent="0.3">
      <c r="A340">
        <v>2019</v>
      </c>
      <c r="B340">
        <v>3</v>
      </c>
      <c r="C340">
        <v>515</v>
      </c>
      <c r="D340">
        <v>43.268700000000003</v>
      </c>
      <c r="E340">
        <v>-3.1531099999999999</v>
      </c>
      <c r="F340">
        <v>92904</v>
      </c>
    </row>
    <row r="341" spans="1:6" x14ac:dyDescent="0.3">
      <c r="A341">
        <v>2019</v>
      </c>
      <c r="B341">
        <v>4</v>
      </c>
      <c r="C341">
        <v>515</v>
      </c>
      <c r="D341">
        <v>43.268700000000003</v>
      </c>
      <c r="E341">
        <v>-3.1531099999999999</v>
      </c>
      <c r="F341">
        <v>72941</v>
      </c>
    </row>
    <row r="342" spans="1:6" x14ac:dyDescent="0.3">
      <c r="A342">
        <v>2019</v>
      </c>
      <c r="B342">
        <v>5</v>
      </c>
      <c r="C342">
        <v>515</v>
      </c>
      <c r="D342">
        <v>43.268700000000003</v>
      </c>
      <c r="E342">
        <v>-3.1531099999999999</v>
      </c>
      <c r="F342">
        <v>70170</v>
      </c>
    </row>
    <row r="343" spans="1:6" x14ac:dyDescent="0.3">
      <c r="A343">
        <v>2019</v>
      </c>
      <c r="B343">
        <v>6</v>
      </c>
      <c r="C343">
        <v>515</v>
      </c>
      <c r="D343">
        <v>43.268700000000003</v>
      </c>
      <c r="E343">
        <v>-3.1531099999999999</v>
      </c>
      <c r="F343">
        <v>74860</v>
      </c>
    </row>
    <row r="344" spans="1:6" x14ac:dyDescent="0.3">
      <c r="A344">
        <v>2019</v>
      </c>
      <c r="B344">
        <v>7</v>
      </c>
      <c r="C344">
        <v>515</v>
      </c>
      <c r="D344">
        <v>43.268700000000003</v>
      </c>
      <c r="E344">
        <v>-3.1531099999999999</v>
      </c>
      <c r="F344">
        <v>67051</v>
      </c>
    </row>
    <row r="345" spans="1:6" x14ac:dyDescent="0.3">
      <c r="A345">
        <v>2019</v>
      </c>
      <c r="B345">
        <v>8</v>
      </c>
      <c r="C345">
        <v>515</v>
      </c>
      <c r="D345">
        <v>43.268700000000003</v>
      </c>
      <c r="E345">
        <v>-3.1531099999999999</v>
      </c>
      <c r="F345">
        <v>10806</v>
      </c>
    </row>
    <row r="346" spans="1:6" x14ac:dyDescent="0.3">
      <c r="A346">
        <v>2019</v>
      </c>
      <c r="B346">
        <v>9</v>
      </c>
      <c r="C346">
        <v>515</v>
      </c>
      <c r="D346">
        <v>43.268700000000003</v>
      </c>
      <c r="E346">
        <v>-3.1531099999999999</v>
      </c>
      <c r="F346">
        <v>69319</v>
      </c>
    </row>
    <row r="347" spans="1:6" x14ac:dyDescent="0.3">
      <c r="A347">
        <v>2019</v>
      </c>
      <c r="B347">
        <v>10</v>
      </c>
      <c r="C347">
        <v>515</v>
      </c>
      <c r="D347">
        <v>43.268700000000003</v>
      </c>
      <c r="E347">
        <v>-3.1531099999999999</v>
      </c>
      <c r="F347">
        <v>64021</v>
      </c>
    </row>
    <row r="348" spans="1:6" x14ac:dyDescent="0.3">
      <c r="A348">
        <v>2019</v>
      </c>
      <c r="B348">
        <v>11</v>
      </c>
      <c r="C348">
        <v>515</v>
      </c>
      <c r="D348">
        <v>43.268700000000003</v>
      </c>
      <c r="E348">
        <v>-3.1531099999999999</v>
      </c>
      <c r="F348">
        <v>63757</v>
      </c>
    </row>
    <row r="349" spans="1:6" x14ac:dyDescent="0.3">
      <c r="A349">
        <v>2019</v>
      </c>
      <c r="B349">
        <v>12</v>
      </c>
      <c r="C349">
        <v>515</v>
      </c>
      <c r="D349">
        <v>43.268700000000003</v>
      </c>
      <c r="E349">
        <v>-3.1531099999999999</v>
      </c>
      <c r="F349">
        <v>38731</v>
      </c>
    </row>
    <row r="350" spans="1:6" x14ac:dyDescent="0.3">
      <c r="A350">
        <v>2020</v>
      </c>
      <c r="B350">
        <v>1</v>
      </c>
      <c r="C350">
        <v>515</v>
      </c>
      <c r="D350">
        <v>43.268700000000003</v>
      </c>
      <c r="E350">
        <v>-3.1531099999999999</v>
      </c>
      <c r="F350">
        <v>54920</v>
      </c>
    </row>
    <row r="351" spans="1:6" x14ac:dyDescent="0.3">
      <c r="A351">
        <v>2020</v>
      </c>
      <c r="B351">
        <v>2</v>
      </c>
      <c r="C351">
        <v>515</v>
      </c>
      <c r="D351">
        <v>43.268700000000003</v>
      </c>
      <c r="E351">
        <v>-3.1531099999999999</v>
      </c>
      <c r="F351">
        <v>68486</v>
      </c>
    </row>
    <row r="352" spans="1:6" x14ac:dyDescent="0.3">
      <c r="A352">
        <v>2020</v>
      </c>
      <c r="B352">
        <v>3</v>
      </c>
      <c r="C352">
        <v>515</v>
      </c>
      <c r="D352">
        <v>43.268700000000003</v>
      </c>
      <c r="E352">
        <v>-3.1531099999999999</v>
      </c>
      <c r="F352">
        <v>68077</v>
      </c>
    </row>
    <row r="353" spans="1:6" x14ac:dyDescent="0.3">
      <c r="A353">
        <v>2020</v>
      </c>
      <c r="B353">
        <v>4</v>
      </c>
      <c r="C353">
        <v>515</v>
      </c>
      <c r="D353">
        <v>43.268700000000003</v>
      </c>
      <c r="E353">
        <v>-3.1531099999999999</v>
      </c>
      <c r="F353">
        <v>5908</v>
      </c>
    </row>
    <row r="354" spans="1:6" x14ac:dyDescent="0.3">
      <c r="A354">
        <v>2020</v>
      </c>
      <c r="B354">
        <v>5</v>
      </c>
      <c r="C354">
        <v>515</v>
      </c>
      <c r="D354">
        <v>43.268700000000003</v>
      </c>
      <c r="E354">
        <v>-3.1531099999999999</v>
      </c>
      <c r="F354">
        <v>26594</v>
      </c>
    </row>
    <row r="355" spans="1:6" x14ac:dyDescent="0.3">
      <c r="A355">
        <v>2020</v>
      </c>
      <c r="B355">
        <v>6</v>
      </c>
      <c r="C355">
        <v>515</v>
      </c>
      <c r="D355">
        <v>43.268700000000003</v>
      </c>
      <c r="E355">
        <v>-3.1531099999999999</v>
      </c>
      <c r="F355">
        <v>34263</v>
      </c>
    </row>
    <row r="356" spans="1:6" x14ac:dyDescent="0.3">
      <c r="A356">
        <v>2020</v>
      </c>
      <c r="B356">
        <v>7</v>
      </c>
      <c r="C356">
        <v>515</v>
      </c>
      <c r="D356">
        <v>43.268700000000003</v>
      </c>
      <c r="E356">
        <v>-3.1531099999999999</v>
      </c>
      <c r="F356">
        <v>55263</v>
      </c>
    </row>
    <row r="357" spans="1:6" x14ac:dyDescent="0.3">
      <c r="A357">
        <v>2020</v>
      </c>
      <c r="B357">
        <v>8</v>
      </c>
      <c r="C357">
        <v>515</v>
      </c>
      <c r="D357">
        <v>43.268700000000003</v>
      </c>
      <c r="E357">
        <v>-3.1531099999999999</v>
      </c>
      <c r="F357">
        <v>9726</v>
      </c>
    </row>
    <row r="358" spans="1:6" x14ac:dyDescent="0.3">
      <c r="A358">
        <v>2020</v>
      </c>
      <c r="B358">
        <v>9</v>
      </c>
      <c r="C358">
        <v>515</v>
      </c>
      <c r="D358">
        <v>43.268700000000003</v>
      </c>
      <c r="E358">
        <v>-3.1531099999999999</v>
      </c>
      <c r="F358">
        <v>28207</v>
      </c>
    </row>
    <row r="359" spans="1:6" x14ac:dyDescent="0.3">
      <c r="A359">
        <v>2020</v>
      </c>
      <c r="B359">
        <v>10</v>
      </c>
      <c r="C359">
        <v>515</v>
      </c>
      <c r="D359">
        <v>43.268700000000003</v>
      </c>
      <c r="E359">
        <v>-3.1531099999999999</v>
      </c>
      <c r="F359">
        <v>48813</v>
      </c>
    </row>
    <row r="360" spans="1:6" x14ac:dyDescent="0.3">
      <c r="A360">
        <v>2020</v>
      </c>
      <c r="B360">
        <v>11</v>
      </c>
      <c r="C360">
        <v>515</v>
      </c>
      <c r="D360">
        <v>43.268700000000003</v>
      </c>
      <c r="E360">
        <v>-3.1531099999999999</v>
      </c>
      <c r="F360">
        <v>43571</v>
      </c>
    </row>
    <row r="361" spans="1:6" x14ac:dyDescent="0.3">
      <c r="A361">
        <v>2020</v>
      </c>
      <c r="B361">
        <v>12</v>
      </c>
      <c r="C361">
        <v>515</v>
      </c>
      <c r="D361">
        <v>43.268700000000003</v>
      </c>
      <c r="E361">
        <v>-3.1531099999999999</v>
      </c>
      <c r="F361">
        <v>41689</v>
      </c>
    </row>
    <row r="362" spans="1:6" x14ac:dyDescent="0.3">
      <c r="A362">
        <v>2021</v>
      </c>
      <c r="B362">
        <v>1</v>
      </c>
      <c r="C362">
        <v>515</v>
      </c>
      <c r="D362">
        <v>43.268700000000003</v>
      </c>
      <c r="E362">
        <v>-3.1531099999999999</v>
      </c>
      <c r="F362">
        <v>54414</v>
      </c>
    </row>
    <row r="363" spans="1:6" x14ac:dyDescent="0.3">
      <c r="A363">
        <v>2021</v>
      </c>
      <c r="B363">
        <v>2</v>
      </c>
      <c r="C363">
        <v>515</v>
      </c>
      <c r="D363">
        <v>43.268700000000003</v>
      </c>
      <c r="E363">
        <v>-3.1531099999999999</v>
      </c>
      <c r="F363">
        <v>57475</v>
      </c>
    </row>
    <row r="364" spans="1:6" x14ac:dyDescent="0.3">
      <c r="A364">
        <v>2021</v>
      </c>
      <c r="B364">
        <v>3</v>
      </c>
      <c r="C364">
        <v>515</v>
      </c>
      <c r="D364">
        <v>43.268700000000003</v>
      </c>
      <c r="E364">
        <v>-3.1531099999999999</v>
      </c>
      <c r="F364">
        <v>61597</v>
      </c>
    </row>
    <row r="365" spans="1:6" x14ac:dyDescent="0.3">
      <c r="A365">
        <v>2021</v>
      </c>
      <c r="B365">
        <v>4</v>
      </c>
      <c r="C365">
        <v>515</v>
      </c>
      <c r="D365">
        <v>43.268700000000003</v>
      </c>
      <c r="E365">
        <v>-3.1531099999999999</v>
      </c>
      <c r="F365">
        <v>63677</v>
      </c>
    </row>
    <row r="366" spans="1:6" x14ac:dyDescent="0.3">
      <c r="A366">
        <v>2021</v>
      </c>
      <c r="B366">
        <v>5</v>
      </c>
      <c r="C366">
        <v>515</v>
      </c>
      <c r="D366">
        <v>43.268700000000003</v>
      </c>
      <c r="E366">
        <v>-3.1531099999999999</v>
      </c>
      <c r="F366">
        <v>64791</v>
      </c>
    </row>
    <row r="367" spans="1:6" x14ac:dyDescent="0.3">
      <c r="A367">
        <v>2021</v>
      </c>
      <c r="B367">
        <v>6</v>
      </c>
      <c r="C367">
        <v>515</v>
      </c>
      <c r="D367">
        <v>43.268700000000003</v>
      </c>
      <c r="E367">
        <v>-3.1531099999999999</v>
      </c>
      <c r="F367">
        <v>77288</v>
      </c>
    </row>
    <row r="368" spans="1:6" x14ac:dyDescent="0.3">
      <c r="A368">
        <v>2021</v>
      </c>
      <c r="B368">
        <v>7</v>
      </c>
      <c r="C368">
        <v>515</v>
      </c>
      <c r="D368">
        <v>43.268700000000003</v>
      </c>
      <c r="E368">
        <v>-3.1531099999999999</v>
      </c>
      <c r="F368">
        <v>79551</v>
      </c>
    </row>
    <row r="369" spans="1:6" x14ac:dyDescent="0.3">
      <c r="A369">
        <v>2021</v>
      </c>
      <c r="B369">
        <v>8</v>
      </c>
      <c r="C369">
        <v>515</v>
      </c>
      <c r="D369">
        <v>43.268700000000003</v>
      </c>
      <c r="E369">
        <v>-3.1531099999999999</v>
      </c>
      <c r="F369">
        <v>14912</v>
      </c>
    </row>
    <row r="370" spans="1:6" x14ac:dyDescent="0.3">
      <c r="A370">
        <v>2021</v>
      </c>
      <c r="B370">
        <v>9</v>
      </c>
      <c r="C370">
        <v>515</v>
      </c>
      <c r="D370">
        <v>43.268700000000003</v>
      </c>
      <c r="E370">
        <v>-3.1531099999999999</v>
      </c>
      <c r="F370">
        <v>57785</v>
      </c>
    </row>
    <row r="371" spans="1:6" x14ac:dyDescent="0.3">
      <c r="A371">
        <v>2021</v>
      </c>
      <c r="B371">
        <v>10</v>
      </c>
      <c r="C371">
        <v>515</v>
      </c>
      <c r="D371">
        <v>43.268700000000003</v>
      </c>
      <c r="E371">
        <v>-3.1531099999999999</v>
      </c>
      <c r="F371">
        <v>67083</v>
      </c>
    </row>
    <row r="372" spans="1:6" x14ac:dyDescent="0.3">
      <c r="A372">
        <v>2021</v>
      </c>
      <c r="B372">
        <v>11</v>
      </c>
      <c r="C372">
        <v>515</v>
      </c>
      <c r="D372">
        <v>43.268700000000003</v>
      </c>
      <c r="E372">
        <v>-3.1531099999999999</v>
      </c>
      <c r="F372">
        <v>50437</v>
      </c>
    </row>
    <row r="373" spans="1:6" x14ac:dyDescent="0.3">
      <c r="A373">
        <v>2021</v>
      </c>
      <c r="B373">
        <v>12</v>
      </c>
      <c r="C373">
        <v>515</v>
      </c>
      <c r="D373">
        <v>43.268700000000003</v>
      </c>
      <c r="E373">
        <v>-3.1531099999999999</v>
      </c>
      <c r="F373">
        <v>34494</v>
      </c>
    </row>
    <row r="374" spans="1:6" x14ac:dyDescent="0.3">
      <c r="A374">
        <v>2022</v>
      </c>
      <c r="B374">
        <v>1</v>
      </c>
      <c r="C374">
        <v>515</v>
      </c>
      <c r="D374">
        <v>43.268700000000003</v>
      </c>
      <c r="E374">
        <v>-3.1531099999999999</v>
      </c>
      <c r="F374">
        <v>57648</v>
      </c>
    </row>
    <row r="375" spans="1:6" x14ac:dyDescent="0.3">
      <c r="A375">
        <v>2022</v>
      </c>
      <c r="B375">
        <v>2</v>
      </c>
      <c r="C375">
        <v>515</v>
      </c>
      <c r="D375">
        <v>43.268700000000003</v>
      </c>
      <c r="E375">
        <v>-3.1531099999999999</v>
      </c>
      <c r="F375">
        <v>62055</v>
      </c>
    </row>
    <row r="376" spans="1:6" x14ac:dyDescent="0.3">
      <c r="A376">
        <v>2022</v>
      </c>
      <c r="B376">
        <v>3</v>
      </c>
      <c r="C376">
        <v>515</v>
      </c>
      <c r="D376">
        <v>43.268700000000003</v>
      </c>
      <c r="E376">
        <v>-3.1531099999999999</v>
      </c>
      <c r="F376">
        <v>52080</v>
      </c>
    </row>
    <row r="377" spans="1:6" x14ac:dyDescent="0.3">
      <c r="A377">
        <v>2022</v>
      </c>
      <c r="B377">
        <v>4</v>
      </c>
      <c r="C377">
        <v>515</v>
      </c>
      <c r="D377">
        <v>43.268700000000003</v>
      </c>
      <c r="E377">
        <v>-3.1531099999999999</v>
      </c>
      <c r="F377">
        <v>69726</v>
      </c>
    </row>
    <row r="378" spans="1:6" x14ac:dyDescent="0.3">
      <c r="A378">
        <v>2022</v>
      </c>
      <c r="B378">
        <v>5</v>
      </c>
      <c r="C378">
        <v>515</v>
      </c>
      <c r="D378">
        <v>43.268700000000003</v>
      </c>
      <c r="E378">
        <v>-3.1531099999999999</v>
      </c>
      <c r="F378">
        <v>70068</v>
      </c>
    </row>
    <row r="379" spans="1:6" x14ac:dyDescent="0.3">
      <c r="A379">
        <v>2022</v>
      </c>
      <c r="B379">
        <v>6</v>
      </c>
      <c r="C379">
        <v>515</v>
      </c>
      <c r="D379">
        <v>43.268700000000003</v>
      </c>
      <c r="E379">
        <v>-3.1531099999999999</v>
      </c>
      <c r="F379">
        <v>70284</v>
      </c>
    </row>
    <row r="380" spans="1:6" x14ac:dyDescent="0.3">
      <c r="A380">
        <v>2018</v>
      </c>
      <c r="B380">
        <v>1</v>
      </c>
      <c r="C380">
        <v>1240</v>
      </c>
      <c r="D380">
        <v>43.077599999999997</v>
      </c>
      <c r="E380">
        <v>-2.9956800000000001</v>
      </c>
      <c r="F380">
        <v>23468</v>
      </c>
    </row>
    <row r="381" spans="1:6" x14ac:dyDescent="0.3">
      <c r="A381">
        <v>2018</v>
      </c>
      <c r="B381">
        <v>2</v>
      </c>
      <c r="C381">
        <v>1240</v>
      </c>
      <c r="D381">
        <v>43.077599999999997</v>
      </c>
      <c r="E381">
        <v>-2.9956800000000001</v>
      </c>
      <c r="F381">
        <v>24011</v>
      </c>
    </row>
    <row r="382" spans="1:6" x14ac:dyDescent="0.3">
      <c r="A382">
        <v>2018</v>
      </c>
      <c r="B382">
        <v>3</v>
      </c>
      <c r="C382">
        <v>1240</v>
      </c>
      <c r="D382">
        <v>43.077599999999997</v>
      </c>
      <c r="E382">
        <v>-2.9956800000000001</v>
      </c>
      <c r="F382">
        <v>22551</v>
      </c>
    </row>
    <row r="383" spans="1:6" x14ac:dyDescent="0.3">
      <c r="A383">
        <v>2018</v>
      </c>
      <c r="B383">
        <v>4</v>
      </c>
      <c r="C383">
        <v>1240</v>
      </c>
      <c r="D383">
        <v>43.077599999999997</v>
      </c>
      <c r="E383">
        <v>-2.9956800000000001</v>
      </c>
      <c r="F383">
        <v>21549</v>
      </c>
    </row>
    <row r="384" spans="1:6" x14ac:dyDescent="0.3">
      <c r="A384">
        <v>2018</v>
      </c>
      <c r="B384">
        <v>5</v>
      </c>
      <c r="C384">
        <v>1240</v>
      </c>
      <c r="D384">
        <v>43.077599999999997</v>
      </c>
      <c r="E384">
        <v>-2.9956800000000001</v>
      </c>
      <c r="F384">
        <v>22445</v>
      </c>
    </row>
    <row r="385" spans="1:6" x14ac:dyDescent="0.3">
      <c r="A385">
        <v>2018</v>
      </c>
      <c r="B385">
        <v>6</v>
      </c>
      <c r="C385">
        <v>1240</v>
      </c>
      <c r="D385">
        <v>43.077599999999997</v>
      </c>
      <c r="E385">
        <v>-2.9956800000000001</v>
      </c>
      <c r="F385">
        <v>23909</v>
      </c>
    </row>
    <row r="386" spans="1:6" x14ac:dyDescent="0.3">
      <c r="A386">
        <v>2018</v>
      </c>
      <c r="B386">
        <v>7</v>
      </c>
      <c r="C386">
        <v>1240</v>
      </c>
      <c r="D386">
        <v>43.077599999999997</v>
      </c>
      <c r="E386">
        <v>-2.9956800000000001</v>
      </c>
      <c r="F386">
        <v>18586</v>
      </c>
    </row>
    <row r="387" spans="1:6" x14ac:dyDescent="0.3">
      <c r="A387">
        <v>2018</v>
      </c>
      <c r="B387">
        <v>8</v>
      </c>
      <c r="C387">
        <v>1240</v>
      </c>
      <c r="D387">
        <v>43.077599999999997</v>
      </c>
      <c r="E387">
        <v>-2.9956800000000001</v>
      </c>
      <c r="F387">
        <v>0</v>
      </c>
    </row>
    <row r="388" spans="1:6" x14ac:dyDescent="0.3">
      <c r="A388">
        <v>2018</v>
      </c>
      <c r="B388">
        <v>9</v>
      </c>
      <c r="C388">
        <v>1240</v>
      </c>
      <c r="D388">
        <v>43.077599999999997</v>
      </c>
      <c r="E388">
        <v>-2.9956800000000001</v>
      </c>
      <c r="F388">
        <v>19479</v>
      </c>
    </row>
    <row r="389" spans="1:6" x14ac:dyDescent="0.3">
      <c r="A389">
        <v>2018</v>
      </c>
      <c r="B389">
        <v>10</v>
      </c>
      <c r="C389">
        <v>1240</v>
      </c>
      <c r="D389">
        <v>43.077599999999997</v>
      </c>
      <c r="E389">
        <v>-2.9956800000000001</v>
      </c>
      <c r="F389">
        <v>19695</v>
      </c>
    </row>
    <row r="390" spans="1:6" x14ac:dyDescent="0.3">
      <c r="A390">
        <v>2018</v>
      </c>
      <c r="B390">
        <v>11</v>
      </c>
      <c r="C390">
        <v>1240</v>
      </c>
      <c r="D390">
        <v>43.077599999999997</v>
      </c>
      <c r="E390">
        <v>-2.9956800000000001</v>
      </c>
      <c r="F390">
        <v>16513</v>
      </c>
    </row>
    <row r="391" spans="1:6" x14ac:dyDescent="0.3">
      <c r="A391">
        <v>2018</v>
      </c>
      <c r="B391">
        <v>12</v>
      </c>
      <c r="C391">
        <v>1240</v>
      </c>
      <c r="D391">
        <v>43.077599999999997</v>
      </c>
      <c r="E391">
        <v>-2.9956800000000001</v>
      </c>
      <c r="F391">
        <v>4869</v>
      </c>
    </row>
    <row r="392" spans="1:6" x14ac:dyDescent="0.3">
      <c r="A392">
        <v>2019</v>
      </c>
      <c r="B392">
        <v>1</v>
      </c>
      <c r="C392">
        <v>1240</v>
      </c>
      <c r="D392">
        <v>43.077599999999997</v>
      </c>
      <c r="E392">
        <v>-2.9956800000000001</v>
      </c>
      <c r="F392">
        <v>16535</v>
      </c>
    </row>
    <row r="393" spans="1:6" x14ac:dyDescent="0.3">
      <c r="A393">
        <v>2019</v>
      </c>
      <c r="B393">
        <v>2</v>
      </c>
      <c r="C393">
        <v>1240</v>
      </c>
      <c r="D393">
        <v>43.077599999999997</v>
      </c>
      <c r="E393">
        <v>-2.9956800000000001</v>
      </c>
      <c r="F393">
        <v>12445</v>
      </c>
    </row>
    <row r="394" spans="1:6" x14ac:dyDescent="0.3">
      <c r="A394">
        <v>2019</v>
      </c>
      <c r="B394">
        <v>3</v>
      </c>
      <c r="C394">
        <v>1240</v>
      </c>
      <c r="D394">
        <v>43.077599999999997</v>
      </c>
      <c r="E394">
        <v>-2.9956800000000001</v>
      </c>
      <c r="F394">
        <v>9506</v>
      </c>
    </row>
    <row r="395" spans="1:6" x14ac:dyDescent="0.3">
      <c r="A395">
        <v>2019</v>
      </c>
      <c r="B395">
        <v>4</v>
      </c>
      <c r="C395">
        <v>1240</v>
      </c>
      <c r="D395">
        <v>43.077599999999997</v>
      </c>
      <c r="E395">
        <v>-2.9956800000000001</v>
      </c>
      <c r="F395">
        <v>16548</v>
      </c>
    </row>
    <row r="396" spans="1:6" x14ac:dyDescent="0.3">
      <c r="A396">
        <v>2019</v>
      </c>
      <c r="B396">
        <v>5</v>
      </c>
      <c r="C396">
        <v>1240</v>
      </c>
      <c r="D396">
        <v>43.077599999999997</v>
      </c>
      <c r="E396">
        <v>-2.9956800000000001</v>
      </c>
      <c r="F396">
        <v>18225</v>
      </c>
    </row>
    <row r="397" spans="1:6" x14ac:dyDescent="0.3">
      <c r="A397">
        <v>2019</v>
      </c>
      <c r="B397">
        <v>6</v>
      </c>
      <c r="C397">
        <v>1240</v>
      </c>
      <c r="D397">
        <v>43.077599999999997</v>
      </c>
      <c r="E397">
        <v>-2.9956800000000001</v>
      </c>
      <c r="F397">
        <v>21567</v>
      </c>
    </row>
    <row r="398" spans="1:6" x14ac:dyDescent="0.3">
      <c r="A398">
        <v>2019</v>
      </c>
      <c r="B398">
        <v>7</v>
      </c>
      <c r="C398">
        <v>1240</v>
      </c>
      <c r="D398">
        <v>43.077599999999997</v>
      </c>
      <c r="E398">
        <v>-2.9956800000000001</v>
      </c>
      <c r="F398">
        <v>17528</v>
      </c>
    </row>
    <row r="399" spans="1:6" x14ac:dyDescent="0.3">
      <c r="A399">
        <v>2019</v>
      </c>
      <c r="B399">
        <v>8</v>
      </c>
      <c r="C399">
        <v>1240</v>
      </c>
      <c r="D399">
        <v>43.077599999999997</v>
      </c>
      <c r="E399">
        <v>-2.9956800000000001</v>
      </c>
      <c r="F399">
        <v>0</v>
      </c>
    </row>
    <row r="400" spans="1:6" x14ac:dyDescent="0.3">
      <c r="A400">
        <v>2019</v>
      </c>
      <c r="B400">
        <v>9</v>
      </c>
      <c r="C400">
        <v>1240</v>
      </c>
      <c r="D400">
        <v>43.077599999999997</v>
      </c>
      <c r="E400">
        <v>-2.9956800000000001</v>
      </c>
      <c r="F400">
        <v>14725</v>
      </c>
    </row>
    <row r="401" spans="1:6" x14ac:dyDescent="0.3">
      <c r="A401">
        <v>2019</v>
      </c>
      <c r="B401">
        <v>10</v>
      </c>
      <c r="C401">
        <v>1240</v>
      </c>
      <c r="D401">
        <v>43.077599999999997</v>
      </c>
      <c r="E401">
        <v>-2.9956800000000001</v>
      </c>
      <c r="F401">
        <v>13454</v>
      </c>
    </row>
    <row r="402" spans="1:6" x14ac:dyDescent="0.3">
      <c r="A402">
        <v>2019</v>
      </c>
      <c r="B402">
        <v>11</v>
      </c>
      <c r="C402">
        <v>1240</v>
      </c>
      <c r="D402">
        <v>43.077599999999997</v>
      </c>
      <c r="E402">
        <v>-2.9956800000000001</v>
      </c>
      <c r="F402">
        <v>15750</v>
      </c>
    </row>
    <row r="403" spans="1:6" x14ac:dyDescent="0.3">
      <c r="A403">
        <v>2019</v>
      </c>
      <c r="B403">
        <v>12</v>
      </c>
      <c r="C403">
        <v>1240</v>
      </c>
      <c r="D403">
        <v>43.077599999999997</v>
      </c>
      <c r="E403">
        <v>-2.9956800000000001</v>
      </c>
      <c r="F403">
        <v>13382</v>
      </c>
    </row>
    <row r="404" spans="1:6" x14ac:dyDescent="0.3">
      <c r="A404">
        <v>2020</v>
      </c>
      <c r="B404">
        <v>1</v>
      </c>
      <c r="C404">
        <v>1240</v>
      </c>
      <c r="D404">
        <v>43.077599999999997</v>
      </c>
      <c r="E404">
        <v>-2.9956800000000001</v>
      </c>
      <c r="F404">
        <v>14628</v>
      </c>
    </row>
    <row r="405" spans="1:6" x14ac:dyDescent="0.3">
      <c r="A405">
        <v>2020</v>
      </c>
      <c r="B405">
        <v>2</v>
      </c>
      <c r="C405">
        <v>1240</v>
      </c>
      <c r="D405">
        <v>43.077599999999997</v>
      </c>
      <c r="E405">
        <v>-2.9956800000000001</v>
      </c>
      <c r="F405">
        <v>15279</v>
      </c>
    </row>
    <row r="406" spans="1:6" x14ac:dyDescent="0.3">
      <c r="A406">
        <v>2020</v>
      </c>
      <c r="B406">
        <v>3</v>
      </c>
      <c r="C406">
        <v>1240</v>
      </c>
      <c r="D406">
        <v>43.077599999999997</v>
      </c>
      <c r="E406">
        <v>-2.9956800000000001</v>
      </c>
      <c r="F406">
        <v>11896</v>
      </c>
    </row>
    <row r="407" spans="1:6" x14ac:dyDescent="0.3">
      <c r="A407">
        <v>2020</v>
      </c>
      <c r="B407">
        <v>4</v>
      </c>
      <c r="C407">
        <v>1240</v>
      </c>
      <c r="D407">
        <v>43.077599999999997</v>
      </c>
      <c r="E407">
        <v>-2.9956800000000001</v>
      </c>
      <c r="F407">
        <v>2429</v>
      </c>
    </row>
    <row r="408" spans="1:6" x14ac:dyDescent="0.3">
      <c r="A408">
        <v>2020</v>
      </c>
      <c r="B408">
        <v>5</v>
      </c>
      <c r="C408">
        <v>1240</v>
      </c>
      <c r="D408">
        <v>43.077599999999997</v>
      </c>
      <c r="E408">
        <v>-2.9956800000000001</v>
      </c>
      <c r="F408">
        <v>11498</v>
      </c>
    </row>
    <row r="409" spans="1:6" x14ac:dyDescent="0.3">
      <c r="A409">
        <v>2020</v>
      </c>
      <c r="B409">
        <v>6</v>
      </c>
      <c r="C409">
        <v>1240</v>
      </c>
      <c r="D409">
        <v>43.077599999999997</v>
      </c>
      <c r="E409">
        <v>-2.9956800000000001</v>
      </c>
      <c r="F409">
        <v>14045</v>
      </c>
    </row>
    <row r="410" spans="1:6" x14ac:dyDescent="0.3">
      <c r="A410">
        <v>2020</v>
      </c>
      <c r="B410">
        <v>7</v>
      </c>
      <c r="C410">
        <v>1240</v>
      </c>
      <c r="D410">
        <v>43.077599999999997</v>
      </c>
      <c r="E410">
        <v>-2.9956800000000001</v>
      </c>
      <c r="F410">
        <v>6037</v>
      </c>
    </row>
    <row r="411" spans="1:6" x14ac:dyDescent="0.3">
      <c r="A411">
        <v>2020</v>
      </c>
      <c r="B411">
        <v>8</v>
      </c>
      <c r="C411">
        <v>1240</v>
      </c>
      <c r="D411">
        <v>43.077599999999997</v>
      </c>
      <c r="E411">
        <v>-2.9956800000000001</v>
      </c>
      <c r="F411">
        <v>0</v>
      </c>
    </row>
    <row r="412" spans="1:6" x14ac:dyDescent="0.3">
      <c r="A412">
        <v>2020</v>
      </c>
      <c r="B412">
        <v>9</v>
      </c>
      <c r="C412">
        <v>1240</v>
      </c>
      <c r="D412">
        <v>43.077599999999997</v>
      </c>
      <c r="E412">
        <v>-2.9956800000000001</v>
      </c>
      <c r="F412">
        <v>14725</v>
      </c>
    </row>
    <row r="413" spans="1:6" x14ac:dyDescent="0.3">
      <c r="A413">
        <v>2020</v>
      </c>
      <c r="B413">
        <v>10</v>
      </c>
      <c r="C413">
        <v>1240</v>
      </c>
      <c r="D413">
        <v>43.077599999999997</v>
      </c>
      <c r="E413">
        <v>-2.9956800000000001</v>
      </c>
      <c r="F413">
        <v>6379</v>
      </c>
    </row>
    <row r="414" spans="1:6" x14ac:dyDescent="0.3">
      <c r="A414">
        <v>2020</v>
      </c>
      <c r="B414">
        <v>11</v>
      </c>
      <c r="C414">
        <v>1240</v>
      </c>
      <c r="D414">
        <v>43.077599999999997</v>
      </c>
      <c r="E414">
        <v>-2.9956800000000001</v>
      </c>
      <c r="F414">
        <v>2796</v>
      </c>
    </row>
    <row r="415" spans="1:6" x14ac:dyDescent="0.3">
      <c r="A415">
        <v>2020</v>
      </c>
      <c r="B415">
        <v>12</v>
      </c>
      <c r="C415">
        <v>1240</v>
      </c>
      <c r="D415">
        <v>43.077599999999997</v>
      </c>
      <c r="E415">
        <v>-2.9956800000000001</v>
      </c>
      <c r="F415">
        <v>4738</v>
      </c>
    </row>
    <row r="416" spans="1:6" x14ac:dyDescent="0.3">
      <c r="A416">
        <v>2021</v>
      </c>
      <c r="B416">
        <v>1</v>
      </c>
      <c r="C416">
        <v>1240</v>
      </c>
      <c r="D416">
        <v>43.077599999999997</v>
      </c>
      <c r="E416">
        <v>-2.9956800000000001</v>
      </c>
      <c r="F416">
        <v>9994</v>
      </c>
    </row>
    <row r="417" spans="1:6" x14ac:dyDescent="0.3">
      <c r="A417">
        <v>2021</v>
      </c>
      <c r="B417">
        <v>2</v>
      </c>
      <c r="C417">
        <v>1240</v>
      </c>
      <c r="D417">
        <v>43.077599999999997</v>
      </c>
      <c r="E417">
        <v>-2.9956800000000001</v>
      </c>
      <c r="F417">
        <v>10757</v>
      </c>
    </row>
    <row r="418" spans="1:6" x14ac:dyDescent="0.3">
      <c r="A418">
        <v>2021</v>
      </c>
      <c r="B418">
        <v>3</v>
      </c>
      <c r="C418">
        <v>1240</v>
      </c>
      <c r="D418">
        <v>43.077599999999997</v>
      </c>
      <c r="E418">
        <v>-2.9956800000000001</v>
      </c>
      <c r="F418">
        <v>12176</v>
      </c>
    </row>
    <row r="419" spans="1:6" x14ac:dyDescent="0.3">
      <c r="A419">
        <v>2021</v>
      </c>
      <c r="B419">
        <v>4</v>
      </c>
      <c r="C419">
        <v>1240</v>
      </c>
      <c r="D419">
        <v>43.077599999999997</v>
      </c>
      <c r="E419">
        <v>-2.9956800000000001</v>
      </c>
      <c r="F419">
        <v>9126</v>
      </c>
    </row>
    <row r="420" spans="1:6" x14ac:dyDescent="0.3">
      <c r="A420">
        <v>2021</v>
      </c>
      <c r="B420">
        <v>5</v>
      </c>
      <c r="C420">
        <v>1240</v>
      </c>
      <c r="D420">
        <v>43.077599999999997</v>
      </c>
      <c r="E420">
        <v>-2.9956800000000001</v>
      </c>
      <c r="F420">
        <v>12528</v>
      </c>
    </row>
    <row r="421" spans="1:6" x14ac:dyDescent="0.3">
      <c r="A421">
        <v>2021</v>
      </c>
      <c r="B421">
        <v>6</v>
      </c>
      <c r="C421">
        <v>1240</v>
      </c>
      <c r="D421">
        <v>43.077599999999997</v>
      </c>
      <c r="E421">
        <v>-2.9956800000000001</v>
      </c>
      <c r="F421">
        <v>15674</v>
      </c>
    </row>
    <row r="422" spans="1:6" x14ac:dyDescent="0.3">
      <c r="A422">
        <v>2021</v>
      </c>
      <c r="B422">
        <v>7</v>
      </c>
      <c r="C422">
        <v>1240</v>
      </c>
      <c r="D422">
        <v>43.077599999999997</v>
      </c>
      <c r="E422">
        <v>-2.9956800000000001</v>
      </c>
      <c r="F422">
        <v>15306</v>
      </c>
    </row>
    <row r="423" spans="1:6" x14ac:dyDescent="0.3">
      <c r="A423">
        <v>2021</v>
      </c>
      <c r="B423">
        <v>8</v>
      </c>
      <c r="C423">
        <v>1240</v>
      </c>
      <c r="D423">
        <v>43.077599999999997</v>
      </c>
      <c r="E423">
        <v>-2.9956800000000001</v>
      </c>
      <c r="F423">
        <v>0</v>
      </c>
    </row>
    <row r="424" spans="1:6" x14ac:dyDescent="0.3">
      <c r="A424">
        <v>2021</v>
      </c>
      <c r="B424">
        <v>9</v>
      </c>
      <c r="C424">
        <v>1240</v>
      </c>
      <c r="D424">
        <v>43.077599999999997</v>
      </c>
      <c r="E424">
        <v>-2.9956800000000001</v>
      </c>
      <c r="F424">
        <v>18835</v>
      </c>
    </row>
    <row r="425" spans="1:6" x14ac:dyDescent="0.3">
      <c r="A425">
        <v>2021</v>
      </c>
      <c r="B425">
        <v>10</v>
      </c>
      <c r="C425">
        <v>1240</v>
      </c>
      <c r="D425">
        <v>43.077599999999997</v>
      </c>
      <c r="E425">
        <v>-2.9956800000000001</v>
      </c>
      <c r="F425">
        <v>19295</v>
      </c>
    </row>
    <row r="426" spans="1:6" x14ac:dyDescent="0.3">
      <c r="A426">
        <v>2021</v>
      </c>
      <c r="B426">
        <v>11</v>
      </c>
      <c r="C426">
        <v>1240</v>
      </c>
      <c r="D426">
        <v>43.077599999999997</v>
      </c>
      <c r="E426">
        <v>-2.9956800000000001</v>
      </c>
      <c r="F426">
        <v>5752</v>
      </c>
    </row>
    <row r="427" spans="1:6" x14ac:dyDescent="0.3">
      <c r="A427">
        <v>2021</v>
      </c>
      <c r="B427">
        <v>12</v>
      </c>
      <c r="C427">
        <v>1240</v>
      </c>
      <c r="D427">
        <v>43.077599999999997</v>
      </c>
      <c r="E427">
        <v>-2.9956800000000001</v>
      </c>
      <c r="F427">
        <v>12184</v>
      </c>
    </row>
    <row r="428" spans="1:6" x14ac:dyDescent="0.3">
      <c r="A428">
        <v>2022</v>
      </c>
      <c r="B428">
        <v>1</v>
      </c>
      <c r="C428">
        <v>1240</v>
      </c>
      <c r="D428">
        <v>43.077599999999997</v>
      </c>
      <c r="E428">
        <v>-2.9956800000000001</v>
      </c>
      <c r="F428">
        <v>16102</v>
      </c>
    </row>
    <row r="429" spans="1:6" x14ac:dyDescent="0.3">
      <c r="A429">
        <v>2022</v>
      </c>
      <c r="B429">
        <v>2</v>
      </c>
      <c r="C429">
        <v>1240</v>
      </c>
      <c r="D429">
        <v>43.077599999999997</v>
      </c>
      <c r="E429">
        <v>-2.9956800000000001</v>
      </c>
      <c r="F429">
        <v>17264</v>
      </c>
    </row>
    <row r="430" spans="1:6" x14ac:dyDescent="0.3">
      <c r="A430">
        <v>2022</v>
      </c>
      <c r="B430">
        <v>3</v>
      </c>
      <c r="C430">
        <v>1240</v>
      </c>
      <c r="D430">
        <v>43.077599999999997</v>
      </c>
      <c r="E430">
        <v>-2.9956800000000001</v>
      </c>
      <c r="F430">
        <v>26676</v>
      </c>
    </row>
    <row r="431" spans="1:6" x14ac:dyDescent="0.3">
      <c r="A431">
        <v>2022</v>
      </c>
      <c r="B431">
        <v>4</v>
      </c>
      <c r="C431">
        <v>1240</v>
      </c>
      <c r="D431">
        <v>43.077599999999997</v>
      </c>
      <c r="E431">
        <v>-2.9956800000000001</v>
      </c>
      <c r="F431">
        <v>21113</v>
      </c>
    </row>
    <row r="432" spans="1:6" x14ac:dyDescent="0.3">
      <c r="A432">
        <v>2022</v>
      </c>
      <c r="B432">
        <v>5</v>
      </c>
      <c r="C432">
        <v>1240</v>
      </c>
      <c r="D432">
        <v>43.077599999999997</v>
      </c>
      <c r="E432">
        <v>-2.9956800000000001</v>
      </c>
      <c r="F432">
        <v>19645</v>
      </c>
    </row>
    <row r="433" spans="1:6" x14ac:dyDescent="0.3">
      <c r="A433">
        <v>2022</v>
      </c>
      <c r="B433">
        <v>6</v>
      </c>
      <c r="C433">
        <v>1240</v>
      </c>
      <c r="D433">
        <v>43.077599999999997</v>
      </c>
      <c r="E433">
        <v>-2.9956800000000001</v>
      </c>
      <c r="F433">
        <v>21753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BDC6-4B01-4F76-B13E-AF1103751B6D}">
  <dimension ref="A1:E9"/>
  <sheetViews>
    <sheetView workbookViewId="0">
      <selection activeCell="A2" sqref="A2"/>
    </sheetView>
  </sheetViews>
  <sheetFormatPr baseColWidth="10" defaultRowHeight="14.4" x14ac:dyDescent="0.3"/>
  <sheetData>
    <row r="1" spans="1:5" x14ac:dyDescent="0.3">
      <c r="A1" t="s">
        <v>8</v>
      </c>
      <c r="B1" t="s">
        <v>79</v>
      </c>
      <c r="C1" t="s">
        <v>81</v>
      </c>
      <c r="D1" t="s">
        <v>16</v>
      </c>
      <c r="E1" t="s">
        <v>15</v>
      </c>
    </row>
    <row r="2" spans="1:5" x14ac:dyDescent="0.3">
      <c r="A2">
        <v>1</v>
      </c>
      <c r="B2" s="29">
        <v>43.0349</v>
      </c>
      <c r="C2" s="29">
        <v>-3.0013100000000001</v>
      </c>
      <c r="D2" t="s">
        <v>14</v>
      </c>
      <c r="E2" t="s">
        <v>5</v>
      </c>
    </row>
    <row r="3" spans="1:5" x14ac:dyDescent="0.3">
      <c r="A3">
        <v>2</v>
      </c>
      <c r="B3" s="29">
        <v>43.295010955927097</v>
      </c>
      <c r="C3" s="29">
        <v>-2.91</v>
      </c>
      <c r="D3" t="s">
        <v>9</v>
      </c>
      <c r="E3" t="s">
        <v>6</v>
      </c>
    </row>
    <row r="4" spans="1:5" x14ac:dyDescent="0.3">
      <c r="A4">
        <v>3</v>
      </c>
      <c r="B4" s="29">
        <v>43.041697613627299</v>
      </c>
      <c r="C4" s="29">
        <v>-2.2160007186443802</v>
      </c>
      <c r="D4" t="s">
        <v>10</v>
      </c>
      <c r="E4" t="s">
        <v>7</v>
      </c>
    </row>
    <row r="5" spans="1:5" x14ac:dyDescent="0.3">
      <c r="A5">
        <v>4</v>
      </c>
      <c r="B5" s="29">
        <v>43.310400000000001</v>
      </c>
      <c r="C5" s="29">
        <v>-2.9984500000000001</v>
      </c>
      <c r="D5" t="s">
        <v>11</v>
      </c>
      <c r="E5" t="s">
        <v>6</v>
      </c>
    </row>
    <row r="6" spans="1:5" x14ac:dyDescent="0.3">
      <c r="A6">
        <v>5</v>
      </c>
      <c r="B6" s="29">
        <v>43.309899999999999</v>
      </c>
      <c r="C6" s="29">
        <v>-3.0207700000000002</v>
      </c>
      <c r="D6" t="s">
        <v>12</v>
      </c>
      <c r="E6" t="s">
        <v>6</v>
      </c>
    </row>
    <row r="7" spans="1:5" x14ac:dyDescent="0.3">
      <c r="A7">
        <v>6</v>
      </c>
      <c r="B7" s="29">
        <v>43.299399999999999</v>
      </c>
      <c r="C7" s="29">
        <v>-3.0063599999999999</v>
      </c>
      <c r="D7" t="s">
        <v>11</v>
      </c>
      <c r="E7" t="s">
        <v>6</v>
      </c>
    </row>
    <row r="8" spans="1:5" x14ac:dyDescent="0.3">
      <c r="A8">
        <v>7</v>
      </c>
      <c r="B8" s="29">
        <v>43.268700000000003</v>
      </c>
      <c r="C8" s="29">
        <v>-3.1531099999999999</v>
      </c>
      <c r="D8" t="s">
        <v>13</v>
      </c>
      <c r="E8" t="s">
        <v>6</v>
      </c>
    </row>
    <row r="9" spans="1:5" x14ac:dyDescent="0.3">
      <c r="A9">
        <v>8</v>
      </c>
      <c r="B9" s="29">
        <v>43.077599999999997</v>
      </c>
      <c r="C9" s="29">
        <v>-2.9956800000000001</v>
      </c>
      <c r="D9" t="s">
        <v>14</v>
      </c>
      <c r="E9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29C9-D4CF-4035-8CFE-283F8B9CCB47}">
  <dimension ref="A1:BN68"/>
  <sheetViews>
    <sheetView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AU4" sqref="AU4"/>
    </sheetView>
  </sheetViews>
  <sheetFormatPr baseColWidth="10" defaultRowHeight="14.4" x14ac:dyDescent="0.3"/>
  <cols>
    <col min="1" max="1" width="12.33203125" style="2" customWidth="1"/>
    <col min="2" max="16384" width="11.5546875" style="2"/>
  </cols>
  <sheetData>
    <row r="1" spans="1:66" x14ac:dyDescent="0.3">
      <c r="B1" s="2" t="s">
        <v>0</v>
      </c>
      <c r="N1" s="2" t="s">
        <v>1</v>
      </c>
      <c r="Z1" s="2" t="s">
        <v>2</v>
      </c>
      <c r="AL1" s="2" t="s">
        <v>3</v>
      </c>
      <c r="AX1" s="2" t="s">
        <v>4</v>
      </c>
    </row>
    <row r="2" spans="1:66" x14ac:dyDescent="0.3">
      <c r="A2" s="2" t="s">
        <v>87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20</v>
      </c>
      <c r="AM2" s="2" t="s">
        <v>21</v>
      </c>
      <c r="AN2" s="2" t="s">
        <v>22</v>
      </c>
      <c r="AO2" s="2" t="s">
        <v>23</v>
      </c>
      <c r="AP2" s="2" t="s">
        <v>24</v>
      </c>
      <c r="AQ2" s="2" t="s">
        <v>25</v>
      </c>
      <c r="AR2" s="2" t="s">
        <v>26</v>
      </c>
      <c r="AS2" s="2" t="s">
        <v>27</v>
      </c>
      <c r="AT2" s="2" t="s">
        <v>28</v>
      </c>
      <c r="AU2" s="2" t="s">
        <v>29</v>
      </c>
      <c r="AV2" s="2" t="s">
        <v>30</v>
      </c>
      <c r="AW2" s="2" t="s">
        <v>31</v>
      </c>
      <c r="AX2" s="2" t="s">
        <v>20</v>
      </c>
      <c r="AY2" s="2" t="s">
        <v>21</v>
      </c>
      <c r="AZ2" s="2" t="s">
        <v>22</v>
      </c>
      <c r="BA2" s="2" t="s">
        <v>23</v>
      </c>
      <c r="BB2" s="2" t="s">
        <v>24</v>
      </c>
      <c r="BC2" s="2" t="s">
        <v>25</v>
      </c>
    </row>
    <row r="3" spans="1:66" x14ac:dyDescent="0.3">
      <c r="A3" s="2" t="s">
        <v>86</v>
      </c>
      <c r="B3" s="6">
        <f>+'Empresas con coordenadas'!F12/AVERAGE('Empresas con coordenadas'!$AP$12:$BA$12)*100</f>
        <v>76.713743308813704</v>
      </c>
      <c r="C3" s="6">
        <f>+'Empresas con coordenadas'!G12/AVERAGE('Empresas con coordenadas'!$AP$12:$BA$12)*100</f>
        <v>97.793113940488055</v>
      </c>
      <c r="D3" s="6">
        <f>+'Empresas con coordenadas'!H12/AVERAGE('Empresas con coordenadas'!$AP$12:$BA$12)*100</f>
        <v>102.61454154929453</v>
      </c>
      <c r="E3" s="6">
        <f>+'Empresas con coordenadas'!I12/AVERAGE('Empresas con coordenadas'!$AP$12:$BA$12)*100</f>
        <v>101.15941629675595</v>
      </c>
      <c r="F3" s="6">
        <f>+'Empresas con coordenadas'!J12/AVERAGE('Empresas con coordenadas'!$AP$12:$BA$12)*100</f>
        <v>105.98803148398939</v>
      </c>
      <c r="G3" s="6">
        <f>+'Empresas con coordenadas'!K12/AVERAGE('Empresas con coordenadas'!$AP$12:$BA$12)*100</f>
        <v>113.15368779674967</v>
      </c>
      <c r="H3" s="6">
        <f>+'Empresas con coordenadas'!L12/AVERAGE('Empresas con coordenadas'!$AP$12:$BA$12)*100</f>
        <v>69.795339693940946</v>
      </c>
      <c r="I3" s="6">
        <f>+'Empresas con coordenadas'!M12/AVERAGE('Empresas con coordenadas'!$AP$12:$BA$12)*100</f>
        <v>74.341842427916077</v>
      </c>
      <c r="J3" s="6">
        <f>+'Empresas con coordenadas'!N12/AVERAGE('Empresas con coordenadas'!$AP$12:$BA$12)*100</f>
        <v>101.40954402601426</v>
      </c>
      <c r="K3" s="6">
        <f>+'Empresas con coordenadas'!O12/AVERAGE('Empresas con coordenadas'!$AP$12:$BA$12)*100</f>
        <v>109.61883672636949</v>
      </c>
      <c r="L3" s="6">
        <f>+'Empresas con coordenadas'!P12/AVERAGE('Empresas con coordenadas'!$AP$12:$BA$12)*100</f>
        <v>86.745805898246658</v>
      </c>
      <c r="M3" s="6">
        <f>+'Empresas con coordenadas'!Q12/AVERAGE('Empresas con coordenadas'!$AP$12:$BA$12)*100</f>
        <v>76.746087411735047</v>
      </c>
      <c r="N3" s="6">
        <f>+'Empresas con coordenadas'!R12/AVERAGE('Empresas con coordenadas'!$AP$12:$BA$12)*100</f>
        <v>92.015738400895572</v>
      </c>
      <c r="O3" s="6">
        <f>+'Empresas con coordenadas'!S12/AVERAGE('Empresas con coordenadas'!$AP$12:$BA$12)*100</f>
        <v>98.689404970330287</v>
      </c>
      <c r="P3" s="6">
        <f>+'Empresas con coordenadas'!T12/AVERAGE('Empresas con coordenadas'!$AP$12:$BA$12)*100</f>
        <v>116.52286518438835</v>
      </c>
      <c r="Q3" s="6">
        <f>+'Empresas con coordenadas'!U12/AVERAGE('Empresas con coordenadas'!$AP$12:$BA$12)*100</f>
        <v>97.343171530960205</v>
      </c>
      <c r="R3" s="6">
        <f>+'Empresas con coordenadas'!V12/AVERAGE('Empresas con coordenadas'!$AP$12:$BA$12)*100</f>
        <v>109.47760081027968</v>
      </c>
      <c r="S3" s="6">
        <f>+'Empresas con coordenadas'!W12/AVERAGE('Empresas con coordenadas'!$AP$12:$BA$12)*100</f>
        <v>106.98674550641583</v>
      </c>
      <c r="T3" s="6">
        <f>+'Empresas con coordenadas'!X12/AVERAGE('Empresas con coordenadas'!$AP$12:$BA$12)*100</f>
        <v>78.797422294790152</v>
      </c>
      <c r="U3" s="6">
        <f>+'Empresas con coordenadas'!Y12/AVERAGE('Empresas con coordenadas'!$AP$12:$BA$12)*100</f>
        <v>46.925543276110233</v>
      </c>
      <c r="V3" s="6">
        <f>+'Empresas con coordenadas'!Z12/AVERAGE('Empresas con coordenadas'!$AP$12:$BA$12)*100</f>
        <v>87.284155522426161</v>
      </c>
      <c r="W3" s="6">
        <f>+'Empresas con coordenadas'!AA12/AVERAGE('Empresas con coordenadas'!$AP$12:$BA$12)*100</f>
        <v>99.335568270914209</v>
      </c>
      <c r="X3" s="6">
        <f>+'Empresas con coordenadas'!AB12/AVERAGE('Empresas con coordenadas'!$AP$12:$BA$12)*100</f>
        <v>99.252192361161448</v>
      </c>
      <c r="Y3" s="6">
        <f>+'Empresas con coordenadas'!AC12/AVERAGE('Empresas con coordenadas'!$AP$12:$BA$12)*100</f>
        <v>75.33013446162343</v>
      </c>
      <c r="Z3" s="6">
        <f>+'Empresas con coordenadas'!AD12/AVERAGE('Empresas con coordenadas'!$AP$12:$BA$12)*100</f>
        <v>90.992945990738818</v>
      </c>
      <c r="AA3" s="6">
        <f>+'Empresas con coordenadas'!AE12/AVERAGE('Empresas con coordenadas'!$AP$12:$BA$12)*100</f>
        <v>93.213188966827531</v>
      </c>
      <c r="AB3" s="6">
        <f>+'Empresas con coordenadas'!AF12/AVERAGE('Empresas con coordenadas'!$AP$12:$BA$12)*100</f>
        <v>97.703987967993726</v>
      </c>
      <c r="AC3" s="6">
        <f>+'Empresas con coordenadas'!AG12/AVERAGE('Empresas con coordenadas'!$AP$12:$BA$12)*100</f>
        <v>39.332585425867016</v>
      </c>
      <c r="AD3" s="6">
        <f>+'Empresas con coordenadas'!AH12/AVERAGE('Empresas con coordenadas'!$AP$12:$BA$12)*100</f>
        <v>64.241497843426998</v>
      </c>
      <c r="AE3" s="6">
        <f>+'Empresas con coordenadas'!AI12/AVERAGE('Empresas con coordenadas'!$AP$12:$BA$12)*100</f>
        <v>70.058045685446416</v>
      </c>
      <c r="AF3" s="6">
        <f>+'Empresas con coordenadas'!AJ12/AVERAGE('Empresas con coordenadas'!$AP$12:$BA$12)*100</f>
        <v>59.200489713676831</v>
      </c>
      <c r="AG3" s="6">
        <f>+'Empresas con coordenadas'!AK12/AVERAGE('Empresas con coordenadas'!$AP$12:$BA$12)*100</f>
        <v>37.156905436025461</v>
      </c>
      <c r="AH3" s="6">
        <f>+'Empresas con coordenadas'!AL12/AVERAGE('Empresas con coordenadas'!$AP$12:$BA$12)*100</f>
        <v>82.319695102923134</v>
      </c>
      <c r="AI3" s="6">
        <f>+'Empresas con coordenadas'!AM12/AVERAGE('Empresas con coordenadas'!$AP$12:$BA$12)*100</f>
        <v>101.23201083886828</v>
      </c>
      <c r="AJ3" s="6">
        <f>+'Empresas con coordenadas'!AN12/AVERAGE('Empresas con coordenadas'!$AP$12:$BA$12)*100</f>
        <v>92.853810045479406</v>
      </c>
      <c r="AK3" s="6">
        <f>+'Empresas con coordenadas'!AO12/AVERAGE('Empresas con coordenadas'!$AP$12:$BA$12)*100</f>
        <v>82.416008653844429</v>
      </c>
      <c r="AL3" s="6">
        <f>+'Empresas con coordenadas'!AP12/AVERAGE('Empresas con coordenadas'!$AP$12:$BA$12)*100</f>
        <v>96.547865978016802</v>
      </c>
      <c r="AM3" s="6">
        <f>+'Empresas con coordenadas'!AQ12/AVERAGE('Empresas con coordenadas'!$AP$12:$BA$12)*100</f>
        <v>104.84736278763043</v>
      </c>
      <c r="AN3" s="6">
        <f>+'Empresas con coordenadas'!AR12/AVERAGE('Empresas con coordenadas'!$AP$12:$BA$12)*100</f>
        <v>111.11349366025635</v>
      </c>
      <c r="AO3" s="6">
        <f>+'Empresas con coordenadas'!AS12/AVERAGE('Empresas con coordenadas'!$AP$12:$BA$12)*100</f>
        <v>104.34818546587788</v>
      </c>
      <c r="AP3" s="6">
        <f>+'Empresas con coordenadas'!AT12/AVERAGE('Empresas con coordenadas'!$AP$12:$BA$12)*100</f>
        <v>111.80673559953689</v>
      </c>
      <c r="AQ3" s="6">
        <f>+'Empresas con coordenadas'!AU12/AVERAGE('Empresas con coordenadas'!$AP$12:$BA$12)*100</f>
        <v>117.32428017899468</v>
      </c>
      <c r="AR3" s="6">
        <f>+'Empresas con coordenadas'!AV12/AVERAGE('Empresas con coordenadas'!$AP$12:$BA$12)*100</f>
        <v>104.65689195931591</v>
      </c>
      <c r="AS3" s="6">
        <f>+'Empresas con coordenadas'!AW12/AVERAGE('Empresas con coordenadas'!$AP$12:$BA$12)*100</f>
        <v>64.255513621359569</v>
      </c>
      <c r="AT3" s="6">
        <f>+'Empresas con coordenadas'!AX12/AVERAGE('Empresas con coordenadas'!$AP$12:$BA$12)*100</f>
        <v>106.64892932034857</v>
      </c>
      <c r="AU3" s="6">
        <f>+'Empresas con coordenadas'!AY12/AVERAGE('Empresas con coordenadas'!$AP$12:$BA$12)*100</f>
        <v>116.37300417418619</v>
      </c>
      <c r="AV3" s="6">
        <f>+'Empresas con coordenadas'!AZ12/AVERAGE('Empresas con coordenadas'!$AP$12:$BA$12)*100</f>
        <v>98.735046093341495</v>
      </c>
      <c r="AW3" s="6">
        <f>+'Empresas con coordenadas'!BA12/AVERAGE('Empresas con coordenadas'!$AP$12:$BA$12)*100</f>
        <v>63.342691161135335</v>
      </c>
      <c r="AX3" s="6">
        <f>+'Empresas con coordenadas'!BB12/AVERAGE('Empresas con coordenadas'!$AP$12:$BA$12)*100</f>
        <v>73.18140789088298</v>
      </c>
      <c r="AY3" s="6">
        <f>+'Empresas con coordenadas'!BC12/AVERAGE('Empresas con coordenadas'!$AP$12:$BA$12)*100</f>
        <v>83.703663329034768</v>
      </c>
      <c r="AZ3" s="6">
        <f>+'Empresas con coordenadas'!BD12/AVERAGE('Empresas con coordenadas'!$AP$12:$BA$12)*100</f>
        <v>84.81522233276452</v>
      </c>
      <c r="BA3" s="6">
        <f>+'Empresas con coordenadas'!BE12/AVERAGE('Empresas con coordenadas'!$AP$12:$BA$12)*100</f>
        <v>95.807186021118312</v>
      </c>
      <c r="BB3" s="6">
        <f>+'Empresas con coordenadas'!BF12/AVERAGE('Empresas con coordenadas'!$AP$12:$BA$12)*100</f>
        <v>107.51431376295486</v>
      </c>
      <c r="BC3" s="6">
        <f>+'Empresas con coordenadas'!BG12/AVERAGE('Empresas con coordenadas'!$AP$12:$BA$12)*100</f>
        <v>101.74484455963204</v>
      </c>
      <c r="BF3" s="14"/>
      <c r="BG3" s="35"/>
      <c r="BH3" s="35"/>
      <c r="BI3" s="35"/>
      <c r="BJ3" s="35"/>
      <c r="BK3" s="35"/>
      <c r="BL3" s="35"/>
      <c r="BM3" s="35"/>
      <c r="BN3" s="35"/>
    </row>
    <row r="4" spans="1:66" x14ac:dyDescent="0.3">
      <c r="A4" s="2" t="s">
        <v>88</v>
      </c>
      <c r="B4" s="2">
        <v>105.48</v>
      </c>
      <c r="C4" s="2">
        <v>103.83</v>
      </c>
      <c r="D4" s="2">
        <v>106.44</v>
      </c>
      <c r="E4" s="2">
        <v>103.13</v>
      </c>
      <c r="F4" s="2">
        <v>116.31</v>
      </c>
      <c r="G4" s="2">
        <v>111.88</v>
      </c>
      <c r="H4" s="2">
        <v>107.98</v>
      </c>
      <c r="I4" s="2">
        <v>68.39</v>
      </c>
      <c r="J4" s="2">
        <v>102.47</v>
      </c>
      <c r="K4" s="2">
        <v>112.39</v>
      </c>
      <c r="L4" s="2">
        <v>105.2</v>
      </c>
      <c r="M4" s="2">
        <v>77.709999999999994</v>
      </c>
      <c r="N4" s="2">
        <v>105.79</v>
      </c>
      <c r="O4" s="2">
        <v>101.04</v>
      </c>
      <c r="P4" s="2">
        <v>107.2</v>
      </c>
      <c r="Q4" s="2">
        <v>98.64</v>
      </c>
      <c r="R4" s="2">
        <v>114.32</v>
      </c>
      <c r="S4" s="2">
        <v>103.71</v>
      </c>
      <c r="T4" s="2">
        <v>105.05</v>
      </c>
      <c r="U4" s="2">
        <v>65.09</v>
      </c>
      <c r="V4" s="2">
        <v>104.46</v>
      </c>
      <c r="W4" s="2">
        <v>111.84</v>
      </c>
      <c r="X4" s="2">
        <v>102.3</v>
      </c>
      <c r="Y4" s="2">
        <v>81.44</v>
      </c>
      <c r="Z4" s="2">
        <v>98.75</v>
      </c>
      <c r="AA4" s="2">
        <v>105.35</v>
      </c>
      <c r="AB4" s="2">
        <v>90.47</v>
      </c>
      <c r="AC4" s="2">
        <v>53.77</v>
      </c>
      <c r="AD4" s="2">
        <v>71.739999999999995</v>
      </c>
      <c r="AE4" s="2">
        <v>86.57</v>
      </c>
      <c r="AF4" s="2">
        <v>97.29</v>
      </c>
      <c r="AG4" s="2">
        <v>59.97</v>
      </c>
      <c r="AH4" s="2">
        <v>103.51</v>
      </c>
      <c r="AI4" s="2">
        <v>106.3</v>
      </c>
      <c r="AJ4" s="2">
        <v>106.16</v>
      </c>
      <c r="AK4" s="2">
        <v>84.14</v>
      </c>
      <c r="AL4" s="2">
        <v>95.91</v>
      </c>
      <c r="AM4" s="2">
        <v>102.94</v>
      </c>
      <c r="AN4" s="2">
        <v>114.67</v>
      </c>
      <c r="AO4" s="2">
        <v>100.27</v>
      </c>
      <c r="AP4" s="2">
        <v>111.12</v>
      </c>
      <c r="AQ4" s="2">
        <v>109.8</v>
      </c>
      <c r="AR4" s="2">
        <v>107.27</v>
      </c>
      <c r="AS4" s="2">
        <v>68.06</v>
      </c>
      <c r="AT4" s="2">
        <v>104.4</v>
      </c>
      <c r="AU4" s="2">
        <v>100.46</v>
      </c>
      <c r="AV4" s="2">
        <v>105.24</v>
      </c>
      <c r="AW4" s="2">
        <v>79.87</v>
      </c>
      <c r="AX4" s="2">
        <v>96.53</v>
      </c>
      <c r="AY4" s="2">
        <v>105.01</v>
      </c>
      <c r="AZ4" s="2">
        <v>111.98</v>
      </c>
      <c r="BA4" s="2">
        <v>94.26</v>
      </c>
      <c r="BB4" s="2">
        <v>115.12</v>
      </c>
      <c r="BC4" s="2">
        <v>109.26</v>
      </c>
      <c r="BF4" s="14"/>
      <c r="BG4" s="35"/>
      <c r="BH4" s="35"/>
      <c r="BI4" s="35"/>
      <c r="BJ4" s="35"/>
      <c r="BK4" s="35"/>
      <c r="BL4" s="35"/>
      <c r="BM4" s="35"/>
      <c r="BN4" s="35"/>
    </row>
    <row r="5" spans="1:66" x14ac:dyDescent="0.3">
      <c r="A5" s="2" t="s">
        <v>90</v>
      </c>
      <c r="B5" s="22">
        <v>109.765</v>
      </c>
      <c r="C5" s="22">
        <v>109.92100000000001</v>
      </c>
      <c r="D5" s="22">
        <v>113.611</v>
      </c>
      <c r="E5" s="22">
        <v>114.488</v>
      </c>
      <c r="F5" s="22">
        <v>117.83</v>
      </c>
      <c r="G5" s="22">
        <v>113.849</v>
      </c>
      <c r="H5" s="22">
        <v>106.44799999999999</v>
      </c>
      <c r="I5" s="22">
        <v>79.456999999999994</v>
      </c>
      <c r="J5" s="22">
        <v>106.164</v>
      </c>
      <c r="K5" s="22">
        <v>116.71899999999999</v>
      </c>
      <c r="L5" s="22">
        <v>108.51</v>
      </c>
      <c r="M5" s="22">
        <v>83.164000000000001</v>
      </c>
      <c r="N5" s="22">
        <v>107.19499999999999</v>
      </c>
      <c r="O5" s="22">
        <v>101.14400000000001</v>
      </c>
      <c r="P5" s="22">
        <v>113.321</v>
      </c>
      <c r="Q5" s="22">
        <v>103.935</v>
      </c>
      <c r="R5" s="22">
        <v>114.589</v>
      </c>
      <c r="S5" s="22">
        <v>109.712</v>
      </c>
      <c r="T5" s="22">
        <v>104.77200000000001</v>
      </c>
      <c r="U5" s="22">
        <v>71.061000000000007</v>
      </c>
      <c r="V5" s="22">
        <v>103.268</v>
      </c>
      <c r="W5" s="22">
        <v>108.92</v>
      </c>
      <c r="X5" s="22">
        <v>103.26</v>
      </c>
      <c r="Y5" s="22">
        <v>78.012</v>
      </c>
      <c r="Z5" s="22">
        <v>100.294</v>
      </c>
      <c r="AA5" s="22">
        <v>104.494</v>
      </c>
      <c r="AB5" s="22">
        <v>96.24</v>
      </c>
      <c r="AC5" s="22">
        <v>60.389000000000003</v>
      </c>
      <c r="AD5" s="22">
        <v>75.158000000000001</v>
      </c>
      <c r="AE5" s="22">
        <v>84.308999999999997</v>
      </c>
      <c r="AF5" s="22">
        <v>90.655000000000001</v>
      </c>
      <c r="AG5" s="22">
        <v>58.344999999999999</v>
      </c>
      <c r="AH5" s="22">
        <v>98.221999999999994</v>
      </c>
      <c r="AI5" s="22">
        <v>103.742</v>
      </c>
      <c r="AJ5" s="22">
        <v>103.13200000000001</v>
      </c>
      <c r="AK5" s="22">
        <v>79.221000000000004</v>
      </c>
      <c r="AL5" s="22">
        <v>95.040999999999997</v>
      </c>
      <c r="AM5" s="22">
        <v>99.921999999999997</v>
      </c>
      <c r="AN5" s="22">
        <v>113.224</v>
      </c>
      <c r="AO5" s="22">
        <v>106.197</v>
      </c>
      <c r="AP5" s="22">
        <v>112.44499999999999</v>
      </c>
      <c r="AQ5" s="22">
        <v>110.14400000000001</v>
      </c>
      <c r="AR5" s="22">
        <v>103.825</v>
      </c>
      <c r="AS5" s="22">
        <v>70.921000000000006</v>
      </c>
      <c r="AT5" s="22">
        <v>104.508</v>
      </c>
      <c r="AU5" s="22">
        <v>99.966999999999999</v>
      </c>
      <c r="AV5" s="22">
        <v>104.813</v>
      </c>
      <c r="AW5" s="22">
        <v>78.995999999999995</v>
      </c>
      <c r="AX5" s="22">
        <v>89.899000000000001</v>
      </c>
      <c r="AY5" s="22">
        <v>96.793999999999997</v>
      </c>
      <c r="AZ5" s="22">
        <v>104.209</v>
      </c>
      <c r="BA5" s="22">
        <v>93.837000000000003</v>
      </c>
      <c r="BB5" s="22">
        <v>103.85599999999999</v>
      </c>
      <c r="BC5" s="22">
        <v>95.531999999999996</v>
      </c>
      <c r="BF5" s="14"/>
      <c r="BG5" s="14"/>
      <c r="BH5" s="14"/>
      <c r="BI5" s="14"/>
      <c r="BJ5" s="14"/>
      <c r="BK5" s="14"/>
      <c r="BL5" s="14"/>
      <c r="BM5" s="14"/>
      <c r="BN5" s="14"/>
    </row>
    <row r="6" spans="1:66" x14ac:dyDescent="0.3">
      <c r="N6" s="6">
        <f>+N3/B3*100-100</f>
        <v>19.94687579053884</v>
      </c>
      <c r="O6" s="6">
        <f t="shared" ref="O6:BC6" si="0">+O3/C3*100-100</f>
        <v>0.91651752738712844</v>
      </c>
      <c r="P6" s="6">
        <f t="shared" si="0"/>
        <v>13.553949981263088</v>
      </c>
      <c r="Q6" s="6">
        <f t="shared" si="0"/>
        <v>-3.772505719685654</v>
      </c>
      <c r="R6" s="6">
        <f t="shared" si="0"/>
        <v>3.2924182829241744</v>
      </c>
      <c r="S6" s="6">
        <f t="shared" si="0"/>
        <v>-5.4500585976579856</v>
      </c>
      <c r="T6" s="6">
        <f t="shared" si="0"/>
        <v>12.897827620474629</v>
      </c>
      <c r="U6" s="6">
        <f t="shared" si="0"/>
        <v>-36.878692074909836</v>
      </c>
      <c r="V6" s="6">
        <f t="shared" si="0"/>
        <v>-13.929052377914815</v>
      </c>
      <c r="W6" s="6">
        <f t="shared" si="0"/>
        <v>-9.3809319297233316</v>
      </c>
      <c r="X6" s="6">
        <f t="shared" si="0"/>
        <v>14.417280851116715</v>
      </c>
      <c r="Y6" s="6">
        <f t="shared" si="0"/>
        <v>-1.8449838915111911</v>
      </c>
      <c r="Z6" s="6">
        <f t="shared" si="0"/>
        <v>-1.111540729804986</v>
      </c>
      <c r="AA6" s="6">
        <f t="shared" si="0"/>
        <v>-5.5489401371394536</v>
      </c>
      <c r="AB6" s="6">
        <f t="shared" si="0"/>
        <v>-16.150372878846753</v>
      </c>
      <c r="AC6" s="6">
        <f t="shared" si="0"/>
        <v>-59.593893637051671</v>
      </c>
      <c r="AD6" s="6">
        <f t="shared" si="0"/>
        <v>-41.31996192101893</v>
      </c>
      <c r="AE6" s="6">
        <f t="shared" si="0"/>
        <v>-34.517079331808304</v>
      </c>
      <c r="AF6" s="6">
        <f t="shared" si="0"/>
        <v>-24.870017331022538</v>
      </c>
      <c r="AG6" s="6">
        <f t="shared" si="0"/>
        <v>-20.817314319849288</v>
      </c>
      <c r="AH6" s="6">
        <f t="shared" si="0"/>
        <v>-5.6876994338651627</v>
      </c>
      <c r="AI6" s="6">
        <f t="shared" si="0"/>
        <v>1.9091274162563536</v>
      </c>
      <c r="AJ6" s="6">
        <f t="shared" si="0"/>
        <v>-6.4465904112217913</v>
      </c>
      <c r="AK6" s="6">
        <f t="shared" si="0"/>
        <v>9.4064271129515475</v>
      </c>
      <c r="AL6" s="6">
        <f t="shared" si="0"/>
        <v>6.1047809000967561</v>
      </c>
      <c r="AM6" s="6">
        <f t="shared" si="0"/>
        <v>12.481252867492003</v>
      </c>
      <c r="AN6" s="6">
        <f t="shared" si="0"/>
        <v>13.724624727350303</v>
      </c>
      <c r="AO6" s="6">
        <f t="shared" si="0"/>
        <v>165.29704146337008</v>
      </c>
      <c r="AP6" s="6">
        <f t="shared" si="0"/>
        <v>74.041296284900739</v>
      </c>
      <c r="AQ6" s="6">
        <f t="shared" si="0"/>
        <v>67.467246668239795</v>
      </c>
      <c r="AR6" s="6">
        <f t="shared" si="0"/>
        <v>76.783828082316489</v>
      </c>
      <c r="AS6" s="6">
        <f t="shared" si="0"/>
        <v>72.930207366140507</v>
      </c>
      <c r="AT6" s="6">
        <f t="shared" si="0"/>
        <v>29.554572799385312</v>
      </c>
      <c r="AU6" s="6">
        <f t="shared" si="0"/>
        <v>14.956724863855513</v>
      </c>
      <c r="AV6" s="6">
        <f t="shared" si="0"/>
        <v>6.3338661547452659</v>
      </c>
      <c r="AW6" s="6">
        <f t="shared" si="0"/>
        <v>-23.142733801656121</v>
      </c>
      <c r="AX6" s="6">
        <f t="shared" si="0"/>
        <v>-24.201941545196021</v>
      </c>
      <c r="AY6" s="6">
        <f t="shared" si="0"/>
        <v>-20.166171944088347</v>
      </c>
      <c r="AZ6" s="6">
        <f t="shared" si="0"/>
        <v>-23.667936684541786</v>
      </c>
      <c r="BA6" s="6">
        <f t="shared" si="0"/>
        <v>-8.1850962780301444</v>
      </c>
      <c r="BB6" s="6">
        <f t="shared" si="0"/>
        <v>-3.839144228265809</v>
      </c>
      <c r="BC6" s="6">
        <f t="shared" si="0"/>
        <v>-13.278952656341914</v>
      </c>
      <c r="BF6" s="14"/>
      <c r="BG6" s="35"/>
      <c r="BH6" s="35"/>
      <c r="BI6" s="35"/>
      <c r="BJ6" s="35"/>
      <c r="BK6" s="35"/>
      <c r="BL6" s="35"/>
      <c r="BM6" s="35"/>
      <c r="BN6" s="35"/>
    </row>
    <row r="7" spans="1:66" x14ac:dyDescent="0.3">
      <c r="N7" s="6">
        <f>+N4/B4*100-100</f>
        <v>0.29389457717104506</v>
      </c>
      <c r="O7" s="6">
        <f t="shared" ref="O7:BC7" si="1">+O4/C4*100-100</f>
        <v>-2.6870846576133971</v>
      </c>
      <c r="P7" s="6">
        <f t="shared" si="1"/>
        <v>0.7140172867343324</v>
      </c>
      <c r="Q7" s="6">
        <f t="shared" si="1"/>
        <v>-4.3537283040822103</v>
      </c>
      <c r="R7" s="6">
        <f t="shared" si="1"/>
        <v>-1.7109448886596255</v>
      </c>
      <c r="S7" s="6">
        <f t="shared" si="1"/>
        <v>-7.3024669288523398</v>
      </c>
      <c r="T7" s="6">
        <f t="shared" si="1"/>
        <v>-2.713465456566027</v>
      </c>
      <c r="U7" s="6">
        <f t="shared" si="1"/>
        <v>-4.8252668518789221</v>
      </c>
      <c r="V7" s="6">
        <f t="shared" si="1"/>
        <v>1.9420318141895052</v>
      </c>
      <c r="W7" s="6">
        <f t="shared" si="1"/>
        <v>-0.4893673814396351</v>
      </c>
      <c r="X7" s="6">
        <f t="shared" si="1"/>
        <v>-2.7566539923954423</v>
      </c>
      <c r="Y7" s="6">
        <f t="shared" si="1"/>
        <v>4.7998970531463243</v>
      </c>
      <c r="Z7" s="6">
        <f t="shared" si="1"/>
        <v>-6.6546932602325484</v>
      </c>
      <c r="AA7" s="6">
        <f t="shared" si="1"/>
        <v>4.2656373713380731</v>
      </c>
      <c r="AB7" s="6">
        <f t="shared" si="1"/>
        <v>-15.606343283582092</v>
      </c>
      <c r="AC7" s="6">
        <f t="shared" si="1"/>
        <v>-45.488645579886452</v>
      </c>
      <c r="AD7" s="6">
        <f t="shared" si="1"/>
        <v>-37.246326102169348</v>
      </c>
      <c r="AE7" s="6">
        <f t="shared" si="1"/>
        <v>-16.526853726738025</v>
      </c>
      <c r="AF7" s="6">
        <f t="shared" si="1"/>
        <v>-7.3869585911470637</v>
      </c>
      <c r="AG7" s="6">
        <f t="shared" si="1"/>
        <v>-7.866031648486711</v>
      </c>
      <c r="AH7" s="6">
        <f t="shared" si="1"/>
        <v>-0.90943901972046604</v>
      </c>
      <c r="AI7" s="6">
        <f t="shared" si="1"/>
        <v>-4.9535050071530833</v>
      </c>
      <c r="AJ7" s="6">
        <f t="shared" si="1"/>
        <v>3.7732160312805547</v>
      </c>
      <c r="AK7" s="6">
        <f t="shared" si="1"/>
        <v>3.315324165029466</v>
      </c>
      <c r="AL7" s="6">
        <f t="shared" si="1"/>
        <v>-2.8759493670886087</v>
      </c>
      <c r="AM7" s="6">
        <f t="shared" si="1"/>
        <v>-2.2876127195063987</v>
      </c>
      <c r="AN7" s="6">
        <f t="shared" si="1"/>
        <v>26.749198629379904</v>
      </c>
      <c r="AO7" s="6">
        <f t="shared" si="1"/>
        <v>86.479449507160098</v>
      </c>
      <c r="AP7" s="6">
        <f t="shared" si="1"/>
        <v>54.892667967661026</v>
      </c>
      <c r="AQ7" s="6">
        <f t="shared" si="1"/>
        <v>26.833776134919731</v>
      </c>
      <c r="AR7" s="6">
        <f t="shared" si="1"/>
        <v>10.257991571590082</v>
      </c>
      <c r="AS7" s="6">
        <f t="shared" si="1"/>
        <v>13.490078372519605</v>
      </c>
      <c r="AT7" s="6">
        <f t="shared" si="1"/>
        <v>0.85982030721669389</v>
      </c>
      <c r="AU7" s="6">
        <f t="shared" si="1"/>
        <v>-5.4938852304797763</v>
      </c>
      <c r="AV7" s="6">
        <f t="shared" si="1"/>
        <v>-0.86661642803316852</v>
      </c>
      <c r="AW7" s="6">
        <f t="shared" si="1"/>
        <v>-5.074875207986679</v>
      </c>
      <c r="AX7" s="6">
        <f t="shared" si="1"/>
        <v>0.64643937024293052</v>
      </c>
      <c r="AY7" s="6">
        <f t="shared" si="1"/>
        <v>2.0108801243442969</v>
      </c>
      <c r="AZ7" s="6">
        <f t="shared" si="1"/>
        <v>-2.3458620388942251</v>
      </c>
      <c r="BA7" s="6">
        <f t="shared" si="1"/>
        <v>-5.9938166949236944</v>
      </c>
      <c r="BB7" s="6">
        <f t="shared" si="1"/>
        <v>3.5997120230381512</v>
      </c>
      <c r="BC7" s="6">
        <f t="shared" si="1"/>
        <v>-0.49180327868852203</v>
      </c>
      <c r="BF7" s="14"/>
      <c r="BG7" s="35"/>
      <c r="BH7" s="35"/>
      <c r="BI7" s="35"/>
      <c r="BJ7" s="35"/>
      <c r="BK7" s="35"/>
      <c r="BL7" s="35"/>
      <c r="BM7" s="35"/>
      <c r="BN7" s="35"/>
    </row>
    <row r="8" spans="1:66" x14ac:dyDescent="0.3">
      <c r="N8" s="6">
        <f>+N5/B5*100-100</f>
        <v>-2.3413656447865918</v>
      </c>
      <c r="O8" s="6">
        <f t="shared" ref="O8:BC8" si="2">+O5/C5*100-100</f>
        <v>-7.9848254655616273</v>
      </c>
      <c r="P8" s="6">
        <f t="shared" si="2"/>
        <v>-0.25525697335645248</v>
      </c>
      <c r="Q8" s="6">
        <f t="shared" si="2"/>
        <v>-9.2175599189434649</v>
      </c>
      <c r="R8" s="6">
        <f t="shared" si="2"/>
        <v>-2.7505728592039418</v>
      </c>
      <c r="S8" s="6">
        <f t="shared" si="2"/>
        <v>-3.6337605073386641</v>
      </c>
      <c r="T8" s="6">
        <f t="shared" si="2"/>
        <v>-1.5744776792424346</v>
      </c>
      <c r="U8" s="6">
        <f t="shared" si="2"/>
        <v>-10.566721623016207</v>
      </c>
      <c r="V8" s="6">
        <f t="shared" si="2"/>
        <v>-2.7278550167665117</v>
      </c>
      <c r="W8" s="6">
        <f t="shared" si="2"/>
        <v>-6.6818598514380625</v>
      </c>
      <c r="X8" s="6">
        <f t="shared" si="2"/>
        <v>-4.8382637544926723</v>
      </c>
      <c r="Y8" s="6">
        <f t="shared" si="2"/>
        <v>-6.1949882160550231</v>
      </c>
      <c r="Z8" s="6">
        <f t="shared" si="2"/>
        <v>-6.4378002705349928</v>
      </c>
      <c r="AA8" s="6">
        <f t="shared" si="2"/>
        <v>3.3121094676896234</v>
      </c>
      <c r="AB8" s="6">
        <f t="shared" si="2"/>
        <v>-15.073110897362369</v>
      </c>
      <c r="AC8" s="6">
        <f t="shared" si="2"/>
        <v>-41.897339683456003</v>
      </c>
      <c r="AD8" s="6">
        <f t="shared" si="2"/>
        <v>-34.410807320074355</v>
      </c>
      <c r="AE8" s="6">
        <f t="shared" si="2"/>
        <v>-23.154258422050461</v>
      </c>
      <c r="AF8" s="6">
        <f t="shared" si="2"/>
        <v>-13.474019776276108</v>
      </c>
      <c r="AG8" s="6">
        <f t="shared" si="2"/>
        <v>-17.89448501991248</v>
      </c>
      <c r="AH8" s="6">
        <f t="shared" si="2"/>
        <v>-4.8863152186543743</v>
      </c>
      <c r="AI8" s="6">
        <f t="shared" si="2"/>
        <v>-4.7539478516342228</v>
      </c>
      <c r="AJ8" s="6">
        <f t="shared" si="2"/>
        <v>-0.12395893860158935</v>
      </c>
      <c r="AK8" s="6">
        <f t="shared" si="2"/>
        <v>1.5497615751422842</v>
      </c>
      <c r="AL8" s="6">
        <f t="shared" si="2"/>
        <v>-5.2376014517319049</v>
      </c>
      <c r="AM8" s="6">
        <f t="shared" si="2"/>
        <v>-4.3753708346890789</v>
      </c>
      <c r="AN8" s="6">
        <f t="shared" si="2"/>
        <v>17.647547797173743</v>
      </c>
      <c r="AO8" s="6">
        <f t="shared" si="2"/>
        <v>75.854874232062116</v>
      </c>
      <c r="AP8" s="6">
        <f t="shared" si="2"/>
        <v>49.611485137975961</v>
      </c>
      <c r="AQ8" s="6">
        <f t="shared" si="2"/>
        <v>30.643229074001624</v>
      </c>
      <c r="AR8" s="6">
        <f t="shared" si="2"/>
        <v>14.527604655010748</v>
      </c>
      <c r="AS8" s="6">
        <f t="shared" si="2"/>
        <v>21.554546233610438</v>
      </c>
      <c r="AT8" s="6">
        <f t="shared" si="2"/>
        <v>6.3997882348150199</v>
      </c>
      <c r="AU8" s="6">
        <f t="shared" si="2"/>
        <v>-3.6388348017196535</v>
      </c>
      <c r="AV8" s="6">
        <f t="shared" si="2"/>
        <v>1.6299499670325446</v>
      </c>
      <c r="AW8" s="6">
        <f t="shared" si="2"/>
        <v>-0.28401560192375541</v>
      </c>
      <c r="AX8" s="6">
        <f t="shared" si="2"/>
        <v>-5.4102966088319704</v>
      </c>
      <c r="AY8" s="6">
        <f t="shared" si="2"/>
        <v>-3.1304417445607555</v>
      </c>
      <c r="AZ8" s="6">
        <f t="shared" si="2"/>
        <v>-7.9620928425068911</v>
      </c>
      <c r="BA8" s="6">
        <f t="shared" si="2"/>
        <v>-11.638746857255853</v>
      </c>
      <c r="BB8" s="6">
        <f t="shared" si="2"/>
        <v>-7.6384009960425061</v>
      </c>
      <c r="BC8" s="6">
        <f t="shared" si="2"/>
        <v>-13.266269610691467</v>
      </c>
      <c r="BF8" s="14"/>
      <c r="BG8" s="35"/>
      <c r="BH8" s="35"/>
      <c r="BI8" s="35"/>
      <c r="BJ8" s="35"/>
      <c r="BK8" s="35"/>
      <c r="BL8" s="35"/>
      <c r="BM8" s="35"/>
      <c r="BN8" s="35"/>
    </row>
    <row r="9" spans="1:66" x14ac:dyDescent="0.3">
      <c r="BF9" s="14"/>
      <c r="BG9" s="35"/>
      <c r="BH9" s="35"/>
      <c r="BI9" s="35"/>
      <c r="BJ9" s="35"/>
      <c r="BK9" s="35"/>
      <c r="BL9" s="35"/>
      <c r="BM9" s="35"/>
      <c r="BN9" s="35"/>
    </row>
    <row r="10" spans="1:66" x14ac:dyDescent="0.3">
      <c r="BF10" s="14"/>
      <c r="BG10" s="35"/>
      <c r="BH10" s="35"/>
      <c r="BI10" s="35"/>
      <c r="BJ10" s="35"/>
      <c r="BK10" s="35"/>
      <c r="BL10" s="35"/>
      <c r="BM10" s="35"/>
      <c r="BN10" s="35"/>
    </row>
    <row r="11" spans="1:66" x14ac:dyDescent="0.3">
      <c r="BF11" s="14"/>
      <c r="BG11" s="35"/>
      <c r="BH11" s="35"/>
      <c r="BI11" s="35"/>
      <c r="BJ11" s="35"/>
      <c r="BK11" s="35"/>
      <c r="BL11" s="35"/>
      <c r="BM11" s="35"/>
      <c r="BN11" s="35"/>
    </row>
    <row r="12" spans="1:66" x14ac:dyDescent="0.3">
      <c r="BF12" s="14"/>
      <c r="BG12" s="35"/>
      <c r="BH12" s="35"/>
      <c r="BI12" s="35"/>
      <c r="BJ12" s="35"/>
      <c r="BK12" s="35"/>
      <c r="BL12" s="35"/>
      <c r="BM12" s="35"/>
      <c r="BN12" s="35"/>
    </row>
    <row r="13" spans="1:66" x14ac:dyDescent="0.3">
      <c r="BF13" s="14"/>
      <c r="BG13" s="35"/>
      <c r="BH13" s="35"/>
      <c r="BI13" s="35"/>
      <c r="BJ13" s="35"/>
      <c r="BK13" s="35"/>
      <c r="BL13" s="35"/>
      <c r="BM13" s="35"/>
      <c r="BN13" s="35"/>
    </row>
    <row r="14" spans="1:66" x14ac:dyDescent="0.3">
      <c r="BF14" s="14"/>
      <c r="BG14" s="35"/>
      <c r="BH14" s="35"/>
      <c r="BI14" s="35"/>
      <c r="BJ14" s="35"/>
      <c r="BK14" s="35"/>
      <c r="BL14" s="35"/>
      <c r="BM14" s="35"/>
      <c r="BN14" s="35"/>
    </row>
    <row r="15" spans="1:66" x14ac:dyDescent="0.3">
      <c r="BF15" s="14"/>
      <c r="BG15" s="35"/>
      <c r="BH15" s="35"/>
      <c r="BI15" s="35"/>
      <c r="BJ15" s="35"/>
      <c r="BK15" s="35"/>
      <c r="BL15" s="35"/>
      <c r="BM15" s="35"/>
      <c r="BN15" s="35"/>
    </row>
    <row r="16" spans="1:66" x14ac:dyDescent="0.3">
      <c r="BF16" s="14"/>
      <c r="BG16" s="35"/>
      <c r="BH16" s="35"/>
      <c r="BI16" s="35"/>
      <c r="BJ16" s="35"/>
      <c r="BK16" s="35"/>
      <c r="BL16" s="35"/>
      <c r="BM16" s="35"/>
      <c r="BN16" s="35"/>
    </row>
    <row r="17" spans="41:66" x14ac:dyDescent="0.3">
      <c r="BF17" s="14"/>
      <c r="BG17" s="35"/>
      <c r="BH17" s="35"/>
      <c r="BI17" s="35"/>
      <c r="BJ17" s="35"/>
      <c r="BK17" s="35"/>
      <c r="BL17" s="35"/>
      <c r="BM17" s="35"/>
      <c r="BN17" s="35"/>
    </row>
    <row r="18" spans="41:66" x14ac:dyDescent="0.3">
      <c r="BF18" s="14"/>
      <c r="BG18" s="35"/>
      <c r="BH18" s="35"/>
      <c r="BI18" s="35"/>
      <c r="BJ18" s="35"/>
      <c r="BK18" s="35"/>
      <c r="BL18" s="35"/>
      <c r="BM18" s="35"/>
      <c r="BN18" s="35"/>
    </row>
    <row r="19" spans="41:66" x14ac:dyDescent="0.3">
      <c r="BF19" s="14"/>
      <c r="BG19" s="35"/>
      <c r="BH19" s="35"/>
      <c r="BI19" s="35"/>
      <c r="BJ19" s="35"/>
      <c r="BK19" s="35"/>
      <c r="BL19" s="35"/>
      <c r="BM19" s="35"/>
      <c r="BN19" s="35"/>
    </row>
    <row r="20" spans="41:66" x14ac:dyDescent="0.3">
      <c r="BF20" s="14"/>
      <c r="BG20" s="35"/>
      <c r="BH20" s="35"/>
      <c r="BI20" s="35"/>
      <c r="BJ20" s="35"/>
      <c r="BK20" s="35"/>
      <c r="BL20" s="35"/>
      <c r="BM20" s="35"/>
      <c r="BN20" s="35"/>
    </row>
    <row r="21" spans="41:66" x14ac:dyDescent="0.3">
      <c r="BF21" s="14"/>
      <c r="BG21" s="35"/>
      <c r="BH21" s="35"/>
      <c r="BI21" s="35"/>
      <c r="BJ21" s="35"/>
      <c r="BK21" s="35"/>
      <c r="BL21" s="35"/>
      <c r="BM21" s="35"/>
      <c r="BN21" s="35"/>
    </row>
    <row r="22" spans="41:66" x14ac:dyDescent="0.3">
      <c r="BF22" s="14"/>
      <c r="BG22" s="35"/>
      <c r="BH22" s="35"/>
      <c r="BI22" s="35"/>
      <c r="BJ22" s="35"/>
      <c r="BK22" s="35"/>
      <c r="BL22" s="35"/>
      <c r="BM22" s="35"/>
      <c r="BN22" s="35"/>
    </row>
    <row r="23" spans="41:66" x14ac:dyDescent="0.3">
      <c r="BF23" s="14"/>
      <c r="BG23" s="35"/>
      <c r="BH23" s="35"/>
      <c r="BI23" s="35"/>
      <c r="BJ23" s="35"/>
      <c r="BK23" s="35"/>
      <c r="BL23" s="35"/>
      <c r="BM23" s="35"/>
      <c r="BN23" s="35"/>
    </row>
    <row r="24" spans="41:66" x14ac:dyDescent="0.3">
      <c r="BF24" s="14"/>
      <c r="BG24" s="35"/>
      <c r="BH24" s="35"/>
      <c r="BI24" s="35"/>
      <c r="BJ24" s="35"/>
      <c r="BK24" s="35"/>
      <c r="BL24" s="35"/>
      <c r="BM24" s="35"/>
      <c r="BN24" s="35"/>
    </row>
    <row r="25" spans="41:66" x14ac:dyDescent="0.3">
      <c r="BF25" s="14"/>
      <c r="BG25" s="35"/>
      <c r="BH25" s="35"/>
      <c r="BI25" s="35"/>
      <c r="BJ25" s="35"/>
      <c r="BK25" s="35"/>
      <c r="BL25" s="35"/>
      <c r="BM25" s="35"/>
      <c r="BN25" s="35"/>
    </row>
    <row r="26" spans="41:66" x14ac:dyDescent="0.3">
      <c r="BF26" s="14"/>
      <c r="BG26" s="35"/>
      <c r="BH26" s="35"/>
      <c r="BI26" s="35"/>
      <c r="BJ26" s="35"/>
      <c r="BK26" s="35"/>
      <c r="BL26" s="35"/>
      <c r="BM26" s="35"/>
      <c r="BN26" s="35"/>
    </row>
    <row r="27" spans="41:66" x14ac:dyDescent="0.3">
      <c r="BF27" s="14"/>
      <c r="BG27" s="35"/>
      <c r="BH27" s="35"/>
      <c r="BI27" s="35"/>
      <c r="BJ27" s="35"/>
      <c r="BK27" s="35"/>
      <c r="BL27" s="35"/>
      <c r="BM27" s="35"/>
      <c r="BN27" s="35"/>
    </row>
    <row r="28" spans="41:66" x14ac:dyDescent="0.3">
      <c r="BF28" s="14"/>
      <c r="BG28" s="35"/>
      <c r="BH28" s="35"/>
      <c r="BI28" s="35"/>
      <c r="BJ28" s="35"/>
      <c r="BK28" s="35"/>
      <c r="BL28" s="35"/>
      <c r="BM28" s="35"/>
      <c r="BN28" s="35"/>
    </row>
    <row r="29" spans="41:66" x14ac:dyDescent="0.3">
      <c r="BF29" s="14"/>
      <c r="BG29" s="35"/>
      <c r="BH29" s="35"/>
      <c r="BI29" s="35"/>
      <c r="BJ29" s="35"/>
      <c r="BK29" s="35"/>
      <c r="BL29" s="35"/>
      <c r="BM29" s="35"/>
      <c r="BN29" s="35"/>
    </row>
    <row r="30" spans="41:66" x14ac:dyDescent="0.3">
      <c r="AO30" s="13" t="s">
        <v>89</v>
      </c>
      <c r="AX30" s="13" t="s">
        <v>89</v>
      </c>
      <c r="BF30" s="14"/>
      <c r="BG30" s="35"/>
      <c r="BH30" s="35"/>
      <c r="BI30" s="35"/>
      <c r="BJ30" s="35"/>
      <c r="BK30" s="35"/>
      <c r="BL30" s="35"/>
      <c r="BM30" s="35"/>
      <c r="BN30" s="35"/>
    </row>
    <row r="31" spans="41:66" x14ac:dyDescent="0.3">
      <c r="BF31" s="14"/>
      <c r="BG31" s="35"/>
      <c r="BH31" s="35"/>
      <c r="BI31" s="35"/>
      <c r="BJ31" s="35"/>
      <c r="BK31" s="35"/>
      <c r="BL31" s="35"/>
      <c r="BM31" s="35"/>
      <c r="BN31" s="35"/>
    </row>
    <row r="32" spans="41:66" x14ac:dyDescent="0.3">
      <c r="BF32" s="14"/>
      <c r="BG32" s="35"/>
      <c r="BH32" s="35"/>
      <c r="BI32" s="35"/>
      <c r="BJ32" s="35"/>
      <c r="BK32" s="35"/>
      <c r="BL32" s="35"/>
      <c r="BM32" s="35"/>
      <c r="BN32" s="35"/>
    </row>
    <row r="33" spans="38:66" ht="18" x14ac:dyDescent="0.35">
      <c r="AL33" s="23" t="s">
        <v>91</v>
      </c>
      <c r="BF33" s="14"/>
      <c r="BG33" s="35"/>
      <c r="BH33" s="35"/>
      <c r="BI33" s="35"/>
      <c r="BJ33" s="35"/>
      <c r="BK33" s="35"/>
      <c r="BL33" s="35"/>
      <c r="BM33" s="35"/>
      <c r="BN33" s="35"/>
    </row>
    <row r="34" spans="38:66" x14ac:dyDescent="0.3">
      <c r="BF34" s="14"/>
      <c r="BG34" s="35"/>
      <c r="BH34" s="35"/>
      <c r="BI34" s="35"/>
      <c r="BJ34" s="35"/>
      <c r="BK34" s="35"/>
      <c r="BL34" s="35"/>
      <c r="BM34" s="35"/>
      <c r="BN34" s="35"/>
    </row>
    <row r="35" spans="38:66" x14ac:dyDescent="0.3">
      <c r="BF35" s="14"/>
      <c r="BG35" s="35"/>
      <c r="BH35" s="35"/>
      <c r="BI35" s="35"/>
      <c r="BJ35" s="35"/>
      <c r="BK35" s="35"/>
      <c r="BL35" s="35"/>
      <c r="BM35" s="35"/>
      <c r="BN35" s="35"/>
    </row>
    <row r="36" spans="38:66" x14ac:dyDescent="0.3">
      <c r="BF36" s="14"/>
      <c r="BG36" s="35"/>
      <c r="BH36" s="35"/>
      <c r="BI36" s="35"/>
      <c r="BJ36" s="35"/>
      <c r="BK36" s="35"/>
      <c r="BL36" s="35"/>
      <c r="BM36" s="35"/>
      <c r="BN36" s="35"/>
    </row>
    <row r="37" spans="38:66" x14ac:dyDescent="0.3">
      <c r="BF37" s="14"/>
      <c r="BG37" s="35"/>
      <c r="BH37" s="35"/>
      <c r="BI37" s="35"/>
      <c r="BJ37" s="35"/>
      <c r="BK37" s="35"/>
      <c r="BL37" s="35"/>
      <c r="BM37" s="35"/>
      <c r="BN37" s="35"/>
    </row>
    <row r="38" spans="38:66" x14ac:dyDescent="0.3">
      <c r="BF38" s="14"/>
      <c r="BG38" s="35"/>
      <c r="BH38" s="35"/>
      <c r="BI38" s="35"/>
      <c r="BJ38" s="35"/>
      <c r="BK38" s="35"/>
      <c r="BL38" s="35"/>
      <c r="BM38" s="35"/>
      <c r="BN38" s="35"/>
    </row>
    <row r="39" spans="38:66" x14ac:dyDescent="0.3">
      <c r="BF39" s="14"/>
      <c r="BG39" s="35"/>
      <c r="BH39" s="35"/>
      <c r="BI39" s="35"/>
      <c r="BJ39" s="35"/>
      <c r="BK39" s="35"/>
      <c r="BL39" s="35"/>
      <c r="BM39" s="35"/>
      <c r="BN39" s="35"/>
    </row>
    <row r="40" spans="38:66" x14ac:dyDescent="0.3">
      <c r="BF40" s="14"/>
      <c r="BG40" s="35"/>
      <c r="BH40" s="35"/>
      <c r="BI40" s="35"/>
      <c r="BJ40" s="35"/>
      <c r="BK40" s="35"/>
      <c r="BL40" s="35"/>
      <c r="BM40" s="35"/>
      <c r="BN40" s="35"/>
    </row>
    <row r="41" spans="38:66" x14ac:dyDescent="0.3">
      <c r="BF41" s="14"/>
      <c r="BG41" s="35"/>
      <c r="BH41" s="35"/>
      <c r="BI41" s="35"/>
      <c r="BJ41" s="35"/>
      <c r="BK41" s="35"/>
      <c r="BL41" s="35"/>
      <c r="BM41" s="35"/>
      <c r="BN41" s="35"/>
    </row>
    <row r="42" spans="38:66" x14ac:dyDescent="0.3">
      <c r="BF42" s="14"/>
      <c r="BG42" s="35"/>
      <c r="BH42" s="35"/>
      <c r="BI42" s="35"/>
      <c r="BJ42" s="35"/>
      <c r="BK42" s="35"/>
      <c r="BL42" s="35"/>
      <c r="BM42" s="35"/>
      <c r="BN42" s="35"/>
    </row>
    <row r="43" spans="38:66" x14ac:dyDescent="0.3">
      <c r="BF43" s="14"/>
      <c r="BG43" s="35"/>
      <c r="BH43" s="35"/>
      <c r="BI43" s="35"/>
      <c r="BJ43" s="35"/>
      <c r="BK43" s="35"/>
      <c r="BL43" s="35"/>
      <c r="BM43" s="35"/>
      <c r="BN43" s="35"/>
    </row>
    <row r="44" spans="38:66" x14ac:dyDescent="0.3">
      <c r="BF44" s="14"/>
      <c r="BG44" s="35"/>
      <c r="BH44" s="35"/>
      <c r="BI44" s="35"/>
      <c r="BJ44" s="35"/>
      <c r="BK44" s="35"/>
      <c r="BL44" s="35"/>
      <c r="BM44" s="35"/>
      <c r="BN44" s="35"/>
    </row>
    <row r="45" spans="38:66" x14ac:dyDescent="0.3">
      <c r="BF45" s="14"/>
      <c r="BG45" s="35"/>
      <c r="BH45" s="35"/>
      <c r="BI45" s="35"/>
      <c r="BJ45" s="35"/>
      <c r="BK45" s="35"/>
      <c r="BL45" s="35"/>
      <c r="BM45" s="35"/>
      <c r="BN45" s="35"/>
    </row>
    <row r="46" spans="38:66" x14ac:dyDescent="0.3">
      <c r="BF46" s="14"/>
      <c r="BG46" s="35"/>
      <c r="BH46" s="35"/>
      <c r="BI46" s="35"/>
      <c r="BJ46" s="35"/>
      <c r="BK46" s="35"/>
      <c r="BL46" s="35"/>
      <c r="BM46" s="35"/>
      <c r="BN46" s="35"/>
    </row>
    <row r="47" spans="38:66" x14ac:dyDescent="0.3">
      <c r="BF47" s="14"/>
      <c r="BG47" s="35"/>
      <c r="BH47" s="35"/>
      <c r="BI47" s="35"/>
      <c r="BJ47" s="35"/>
      <c r="BK47" s="35"/>
      <c r="BL47" s="35"/>
      <c r="BM47" s="35"/>
      <c r="BN47" s="35"/>
    </row>
    <row r="48" spans="38:66" x14ac:dyDescent="0.3">
      <c r="BF48" s="14"/>
      <c r="BG48" s="35"/>
      <c r="BH48" s="35"/>
      <c r="BI48" s="35"/>
      <c r="BJ48" s="35"/>
      <c r="BK48" s="35"/>
      <c r="BL48" s="35"/>
      <c r="BM48" s="35"/>
      <c r="BN48" s="35"/>
    </row>
    <row r="49" spans="58:66" x14ac:dyDescent="0.3">
      <c r="BF49" s="14"/>
      <c r="BG49" s="35"/>
      <c r="BH49" s="35"/>
      <c r="BI49" s="35"/>
      <c r="BJ49" s="35"/>
      <c r="BK49" s="35"/>
      <c r="BL49" s="35"/>
      <c r="BM49" s="35"/>
      <c r="BN49" s="35"/>
    </row>
    <row r="50" spans="58:66" x14ac:dyDescent="0.3">
      <c r="BF50" s="14"/>
      <c r="BG50" s="35"/>
      <c r="BH50" s="35"/>
      <c r="BI50" s="35"/>
      <c r="BJ50" s="35"/>
      <c r="BK50" s="35"/>
      <c r="BL50" s="35"/>
      <c r="BM50" s="35"/>
      <c r="BN50" s="35"/>
    </row>
    <row r="51" spans="58:66" x14ac:dyDescent="0.3">
      <c r="BF51" s="14"/>
      <c r="BG51" s="35"/>
      <c r="BH51" s="35"/>
      <c r="BI51" s="35"/>
      <c r="BJ51" s="35"/>
      <c r="BK51" s="35"/>
      <c r="BL51" s="35"/>
      <c r="BM51" s="35"/>
      <c r="BN51" s="35"/>
    </row>
    <row r="52" spans="58:66" x14ac:dyDescent="0.3">
      <c r="BF52" s="14"/>
      <c r="BG52" s="35"/>
      <c r="BH52" s="35"/>
      <c r="BI52" s="35"/>
      <c r="BJ52" s="35"/>
      <c r="BK52" s="35"/>
      <c r="BL52" s="35"/>
      <c r="BM52" s="35"/>
      <c r="BN52" s="35"/>
    </row>
    <row r="53" spans="58:66" x14ac:dyDescent="0.3">
      <c r="BF53" s="14"/>
      <c r="BG53" s="35"/>
      <c r="BH53" s="35"/>
      <c r="BI53" s="35"/>
      <c r="BJ53" s="35"/>
      <c r="BK53" s="35"/>
      <c r="BL53" s="35"/>
      <c r="BM53" s="35"/>
      <c r="BN53" s="35"/>
    </row>
    <row r="54" spans="58:66" x14ac:dyDescent="0.3">
      <c r="BF54" s="14"/>
      <c r="BG54" s="35"/>
      <c r="BH54" s="35"/>
      <c r="BI54" s="35"/>
      <c r="BJ54" s="35"/>
      <c r="BK54" s="35"/>
      <c r="BL54" s="35"/>
      <c r="BM54" s="35"/>
      <c r="BN54" s="35"/>
    </row>
    <row r="55" spans="58:66" x14ac:dyDescent="0.3">
      <c r="BF55" s="14"/>
      <c r="BG55" s="35"/>
      <c r="BH55" s="35"/>
      <c r="BI55" s="35"/>
      <c r="BJ55" s="35"/>
      <c r="BK55" s="35"/>
      <c r="BL55" s="35"/>
      <c r="BM55" s="35"/>
      <c r="BN55" s="35"/>
    </row>
    <row r="56" spans="58:66" x14ac:dyDescent="0.3">
      <c r="BF56" s="14"/>
      <c r="BG56" s="35"/>
      <c r="BH56" s="35"/>
      <c r="BI56" s="35"/>
      <c r="BJ56" s="35"/>
      <c r="BK56" s="35"/>
      <c r="BL56" s="35"/>
      <c r="BM56" s="35"/>
      <c r="BN56" s="35"/>
    </row>
    <row r="57" spans="58:66" x14ac:dyDescent="0.3">
      <c r="BF57" s="14"/>
      <c r="BG57" s="35"/>
      <c r="BH57" s="35"/>
      <c r="BI57" s="35"/>
      <c r="BJ57" s="35"/>
      <c r="BK57" s="35"/>
      <c r="BL57" s="35"/>
      <c r="BM57" s="35"/>
      <c r="BN57" s="35"/>
    </row>
    <row r="58" spans="58:66" x14ac:dyDescent="0.3">
      <c r="BF58" s="14"/>
      <c r="BG58" s="35"/>
      <c r="BH58" s="35"/>
      <c r="BI58" s="35"/>
      <c r="BJ58" s="35"/>
      <c r="BK58" s="35"/>
      <c r="BL58" s="35"/>
      <c r="BM58" s="35"/>
      <c r="BN58" s="35"/>
    </row>
    <row r="59" spans="58:66" x14ac:dyDescent="0.3">
      <c r="BF59" s="14"/>
      <c r="BG59" s="35"/>
      <c r="BH59" s="35"/>
      <c r="BI59" s="35"/>
      <c r="BJ59" s="35"/>
      <c r="BK59" s="35"/>
      <c r="BL59" s="35"/>
      <c r="BM59" s="35"/>
      <c r="BN59" s="35"/>
    </row>
    <row r="60" spans="58:66" x14ac:dyDescent="0.3">
      <c r="BF60" s="14"/>
      <c r="BG60" s="35"/>
      <c r="BH60" s="35"/>
      <c r="BI60" s="35"/>
      <c r="BJ60" s="35"/>
      <c r="BK60" s="35"/>
      <c r="BL60" s="35"/>
      <c r="BM60" s="35"/>
      <c r="BN60" s="35"/>
    </row>
    <row r="61" spans="58:66" x14ac:dyDescent="0.3">
      <c r="BF61" s="14"/>
      <c r="BG61" s="35"/>
      <c r="BH61" s="35"/>
      <c r="BI61" s="35"/>
      <c r="BJ61" s="35"/>
      <c r="BK61" s="35"/>
      <c r="BL61" s="35"/>
      <c r="BM61" s="35"/>
      <c r="BN61" s="35"/>
    </row>
    <row r="62" spans="58:66" x14ac:dyDescent="0.3">
      <c r="BF62" s="14"/>
      <c r="BG62" s="35"/>
      <c r="BH62" s="35"/>
      <c r="BI62" s="35"/>
      <c r="BJ62" s="35"/>
      <c r="BK62" s="35"/>
      <c r="BL62" s="35"/>
      <c r="BM62" s="35"/>
      <c r="BN62" s="35"/>
    </row>
    <row r="63" spans="58:66" x14ac:dyDescent="0.3">
      <c r="BF63" s="14"/>
      <c r="BG63" s="35"/>
      <c r="BH63" s="35"/>
      <c r="BI63" s="35"/>
      <c r="BJ63" s="35"/>
      <c r="BK63" s="35"/>
      <c r="BL63" s="35"/>
      <c r="BM63" s="35"/>
      <c r="BN63" s="35"/>
    </row>
    <row r="64" spans="58:66" x14ac:dyDescent="0.3">
      <c r="BF64" s="14"/>
      <c r="BG64" s="35"/>
      <c r="BH64" s="35"/>
      <c r="BI64" s="35"/>
      <c r="BJ64" s="35"/>
      <c r="BK64" s="35"/>
      <c r="BL64" s="35"/>
      <c r="BM64" s="35"/>
      <c r="BN64" s="35"/>
    </row>
    <row r="65" spans="58:66" x14ac:dyDescent="0.3">
      <c r="BF65" s="14"/>
      <c r="BG65" s="35"/>
      <c r="BH65" s="35"/>
      <c r="BI65" s="35"/>
      <c r="BJ65" s="35"/>
      <c r="BK65" s="35"/>
      <c r="BL65" s="35"/>
      <c r="BM65" s="35"/>
      <c r="BN65" s="35"/>
    </row>
    <row r="66" spans="58:66" x14ac:dyDescent="0.3">
      <c r="BF66" s="14"/>
      <c r="BG66" s="35"/>
      <c r="BH66" s="35"/>
      <c r="BI66" s="35"/>
      <c r="BJ66" s="35"/>
      <c r="BK66" s="35"/>
      <c r="BL66" s="35"/>
      <c r="BM66" s="35"/>
      <c r="BN66" s="35"/>
    </row>
    <row r="67" spans="58:66" x14ac:dyDescent="0.3">
      <c r="BF67" s="14"/>
      <c r="BG67" s="35"/>
      <c r="BH67" s="35"/>
      <c r="BI67" s="35"/>
      <c r="BJ67" s="35"/>
      <c r="BK67" s="35"/>
      <c r="BL67" s="35"/>
      <c r="BM67" s="35"/>
      <c r="BN67" s="35"/>
    </row>
    <row r="68" spans="58:66" x14ac:dyDescent="0.3">
      <c r="BF68" s="14"/>
    </row>
  </sheetData>
  <mergeCells count="64">
    <mergeCell ref="BG6:BN6"/>
    <mergeCell ref="BG7:BN7"/>
    <mergeCell ref="BG3:BN3"/>
    <mergeCell ref="BG4:BN4"/>
    <mergeCell ref="BG12:BN12"/>
    <mergeCell ref="BG13:BN13"/>
    <mergeCell ref="BG10:BN10"/>
    <mergeCell ref="BG11:BN11"/>
    <mergeCell ref="BG8:BN8"/>
    <mergeCell ref="BG9:BN9"/>
    <mergeCell ref="BG18:BN18"/>
    <mergeCell ref="BG19:BN19"/>
    <mergeCell ref="BG16:BN16"/>
    <mergeCell ref="BG17:BN17"/>
    <mergeCell ref="BG14:BN14"/>
    <mergeCell ref="BG15:BN15"/>
    <mergeCell ref="BG24:BN24"/>
    <mergeCell ref="BG25:BN25"/>
    <mergeCell ref="BG22:BN22"/>
    <mergeCell ref="BG23:BN23"/>
    <mergeCell ref="BG20:BN20"/>
    <mergeCell ref="BG21:BN21"/>
    <mergeCell ref="BG30:BN30"/>
    <mergeCell ref="BG31:BN31"/>
    <mergeCell ref="BG28:BN28"/>
    <mergeCell ref="BG29:BN29"/>
    <mergeCell ref="BG26:BN26"/>
    <mergeCell ref="BG27:BN27"/>
    <mergeCell ref="BG36:BN36"/>
    <mergeCell ref="BG37:BN37"/>
    <mergeCell ref="BG34:BN34"/>
    <mergeCell ref="BG35:BN35"/>
    <mergeCell ref="BG32:BN32"/>
    <mergeCell ref="BG33:BN33"/>
    <mergeCell ref="BG42:BN42"/>
    <mergeCell ref="BG43:BN43"/>
    <mergeCell ref="BG40:BN40"/>
    <mergeCell ref="BG41:BN41"/>
    <mergeCell ref="BG38:BN38"/>
    <mergeCell ref="BG39:BN39"/>
    <mergeCell ref="BG48:BN48"/>
    <mergeCell ref="BG49:BN49"/>
    <mergeCell ref="BG46:BN46"/>
    <mergeCell ref="BG47:BN47"/>
    <mergeCell ref="BG44:BN44"/>
    <mergeCell ref="BG45:BN45"/>
    <mergeCell ref="BG54:BN54"/>
    <mergeCell ref="BG55:BN55"/>
    <mergeCell ref="BG52:BN52"/>
    <mergeCell ref="BG53:BN53"/>
    <mergeCell ref="BG50:BN50"/>
    <mergeCell ref="BG51:BN51"/>
    <mergeCell ref="BG60:BN60"/>
    <mergeCell ref="BG61:BN61"/>
    <mergeCell ref="BG58:BN58"/>
    <mergeCell ref="BG59:BN59"/>
    <mergeCell ref="BG56:BN56"/>
    <mergeCell ref="BG57:BN57"/>
    <mergeCell ref="BG66:BN66"/>
    <mergeCell ref="BG67:BN67"/>
    <mergeCell ref="BG64:BN64"/>
    <mergeCell ref="BG65:BN65"/>
    <mergeCell ref="BG62:BN62"/>
    <mergeCell ref="BG63:BN6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D9D3-6D3A-4177-B674-77812AE136E0}">
  <dimension ref="A1:T56"/>
  <sheetViews>
    <sheetView workbookViewId="0">
      <selection activeCell="A12" sqref="A12"/>
    </sheetView>
  </sheetViews>
  <sheetFormatPr baseColWidth="10" defaultRowHeight="14.4" x14ac:dyDescent="0.3"/>
  <sheetData>
    <row r="1" spans="1:20" x14ac:dyDescent="0.3">
      <c r="A1" s="30" t="s">
        <v>97</v>
      </c>
      <c r="B1" s="30" t="s">
        <v>98</v>
      </c>
      <c r="C1" s="30" t="s">
        <v>99</v>
      </c>
      <c r="D1" s="30" t="s">
        <v>100</v>
      </c>
      <c r="E1" s="30" t="s">
        <v>101</v>
      </c>
      <c r="F1" s="30" t="s">
        <v>102</v>
      </c>
      <c r="G1" s="30" t="s">
        <v>103</v>
      </c>
      <c r="H1" s="30" t="s">
        <v>104</v>
      </c>
      <c r="I1" s="30" t="s">
        <v>105</v>
      </c>
      <c r="J1" s="30" t="s">
        <v>106</v>
      </c>
      <c r="K1" s="30" t="s">
        <v>108</v>
      </c>
      <c r="L1" s="30" t="s">
        <v>107</v>
      </c>
      <c r="M1" t="str">
        <f>+"std_"&amp;D1</f>
        <v>std_NO2</v>
      </c>
      <c r="N1" t="str">
        <f t="shared" ref="N1:T1" si="0">+"std_"&amp;E1</f>
        <v>std_CO</v>
      </c>
      <c r="O1" t="str">
        <f t="shared" si="0"/>
        <v>std_SO2</v>
      </c>
      <c r="P1" t="str">
        <f t="shared" si="0"/>
        <v>std_O3</v>
      </c>
      <c r="Q1" t="str">
        <f t="shared" si="0"/>
        <v>std_AAI</v>
      </c>
      <c r="R1" t="str">
        <f t="shared" si="0"/>
        <v>std_NTL</v>
      </c>
      <c r="S1" t="str">
        <f t="shared" si="0"/>
        <v>std_LST</v>
      </c>
      <c r="T1" t="str">
        <f t="shared" si="0"/>
        <v>std_Prod</v>
      </c>
    </row>
    <row r="2" spans="1:20" x14ac:dyDescent="0.3">
      <c r="A2" s="31">
        <v>1825</v>
      </c>
      <c r="B2" s="31">
        <v>2018</v>
      </c>
      <c r="C2" s="31">
        <v>6</v>
      </c>
      <c r="D2" s="31">
        <v>8.2999999999999998E-5</v>
      </c>
      <c r="E2" s="31">
        <v>0</v>
      </c>
      <c r="F2" s="31">
        <v>0</v>
      </c>
      <c r="G2" s="31">
        <v>0</v>
      </c>
      <c r="H2" s="31">
        <v>-0.558114</v>
      </c>
      <c r="I2" s="31">
        <v>18.75</v>
      </c>
      <c r="J2" s="31">
        <v>15137.75</v>
      </c>
      <c r="K2" s="31">
        <v>10863</v>
      </c>
      <c r="L2" s="31">
        <v>1</v>
      </c>
      <c r="M2" s="33">
        <f>+(D2-AVERAGE(D$2:D$50))/_xlfn.STDEV.S(D$2:D$50)</f>
        <v>-0.17081028713189919</v>
      </c>
      <c r="N2" s="33">
        <f t="shared" ref="N2:T17" si="1">+(E2-AVERAGE(E$2:E$50))/_xlfn.STDEV.S(E$2:E$50)</f>
        <v>-5.8978402638502692</v>
      </c>
      <c r="O2" s="33">
        <f t="shared" si="1"/>
        <v>-0.65923060492464947</v>
      </c>
      <c r="P2" s="33">
        <f t="shared" si="1"/>
        <v>-6.1362019632202625</v>
      </c>
      <c r="Q2" s="33">
        <f t="shared" si="1"/>
        <v>0.85407409512632249</v>
      </c>
      <c r="R2" s="33">
        <f t="shared" si="1"/>
        <v>-0.51798176342054714</v>
      </c>
      <c r="S2" s="33">
        <f t="shared" si="1"/>
        <v>0.99269660072998878</v>
      </c>
      <c r="T2" s="33">
        <f t="shared" si="1"/>
        <v>0.89658912730494178</v>
      </c>
    </row>
    <row r="3" spans="1:20" x14ac:dyDescent="0.3">
      <c r="A3" s="32">
        <v>1825</v>
      </c>
      <c r="B3" s="32">
        <v>2018</v>
      </c>
      <c r="C3" s="32">
        <v>7</v>
      </c>
      <c r="D3" s="32">
        <v>8.7000000000000001E-5</v>
      </c>
      <c r="E3" s="32">
        <v>2.8174000000000001E-2</v>
      </c>
      <c r="F3" s="32">
        <v>0</v>
      </c>
      <c r="G3" s="32">
        <v>0.145458</v>
      </c>
      <c r="H3" s="32">
        <v>-0.87218700000000005</v>
      </c>
      <c r="I3" s="32">
        <v>16.7575</v>
      </c>
      <c r="J3" s="32">
        <v>15288.5</v>
      </c>
      <c r="K3" s="32">
        <v>8644</v>
      </c>
      <c r="L3" s="32">
        <v>1</v>
      </c>
      <c r="M3" s="33">
        <f t="shared" ref="M3:M50" si="2">+(D3-AVERAGE(D$2:D$50))/_xlfn.STDEV.S(D$2:D$50)</f>
        <v>0.30072233649981611</v>
      </c>
      <c r="N3" s="33">
        <f t="shared" si="1"/>
        <v>-0.60433064661160363</v>
      </c>
      <c r="O3" s="33">
        <f t="shared" si="1"/>
        <v>-0.65923060492464947</v>
      </c>
      <c r="P3" s="33">
        <f t="shared" si="1"/>
        <v>0.22015976427177839</v>
      </c>
      <c r="Q3" s="33">
        <f t="shared" si="1"/>
        <v>0.14836192566506687</v>
      </c>
      <c r="R3" s="33">
        <f t="shared" si="1"/>
        <v>-1.0993843495423343</v>
      </c>
      <c r="S3" s="33">
        <f t="shared" si="1"/>
        <v>1.3909532839404752</v>
      </c>
      <c r="T3" s="33">
        <f t="shared" si="1"/>
        <v>0.14367141554478258</v>
      </c>
    </row>
    <row r="4" spans="1:20" x14ac:dyDescent="0.3">
      <c r="A4" s="31">
        <v>1825</v>
      </c>
      <c r="B4" s="31">
        <v>2018</v>
      </c>
      <c r="C4" s="31">
        <v>8</v>
      </c>
      <c r="D4" s="31">
        <v>8.2000000000000001E-5</v>
      </c>
      <c r="E4" s="31">
        <v>3.1633000000000001E-2</v>
      </c>
      <c r="F4" s="31">
        <v>0</v>
      </c>
      <c r="G4" s="31">
        <v>0.13900499999999999</v>
      </c>
      <c r="H4" s="31">
        <v>-0.59091800000000005</v>
      </c>
      <c r="I4" s="31">
        <v>24.645</v>
      </c>
      <c r="J4" s="31">
        <v>15262.5</v>
      </c>
      <c r="K4" s="31">
        <v>0</v>
      </c>
      <c r="L4" s="31">
        <v>1</v>
      </c>
      <c r="M4" s="33">
        <f t="shared" si="2"/>
        <v>-0.28869344303982764</v>
      </c>
      <c r="N4" s="33">
        <f t="shared" si="1"/>
        <v>4.5568187988685477E-2</v>
      </c>
      <c r="O4" s="33">
        <f t="shared" si="1"/>
        <v>-0.65923060492464947</v>
      </c>
      <c r="P4" s="33">
        <f t="shared" si="1"/>
        <v>-6.1829553796022799E-2</v>
      </c>
      <c r="Q4" s="33">
        <f t="shared" si="1"/>
        <v>0.78036453713500498</v>
      </c>
      <c r="R4" s="33">
        <f t="shared" si="1"/>
        <v>1.2021528640263464</v>
      </c>
      <c r="S4" s="33">
        <f t="shared" si="1"/>
        <v>1.3222655641164442</v>
      </c>
      <c r="T4" s="33">
        <f t="shared" si="1"/>
        <v>-2.7892806801987127</v>
      </c>
    </row>
    <row r="5" spans="1:20" x14ac:dyDescent="0.3">
      <c r="A5" s="32">
        <v>1825</v>
      </c>
      <c r="B5" s="32">
        <v>2018</v>
      </c>
      <c r="C5" s="32">
        <v>9</v>
      </c>
      <c r="D5" s="32">
        <v>9.3999999999999994E-5</v>
      </c>
      <c r="E5" s="32">
        <v>3.056E-2</v>
      </c>
      <c r="F5" s="32">
        <v>0</v>
      </c>
      <c r="G5" s="32">
        <v>0.12978999999999999</v>
      </c>
      <c r="H5" s="32">
        <v>-0.77683800000000003</v>
      </c>
      <c r="I5" s="32">
        <v>19.610001</v>
      </c>
      <c r="J5" s="32">
        <v>15113.5</v>
      </c>
      <c r="K5" s="32">
        <v>8803</v>
      </c>
      <c r="L5" s="32">
        <v>1</v>
      </c>
      <c r="M5" s="33">
        <f t="shared" si="2"/>
        <v>1.1259044278553167</v>
      </c>
      <c r="N5" s="33">
        <f t="shared" si="1"/>
        <v>-0.15603385003563103</v>
      </c>
      <c r="O5" s="33">
        <f t="shared" si="1"/>
        <v>-0.65923060492464947</v>
      </c>
      <c r="P5" s="33">
        <f t="shared" si="1"/>
        <v>-0.46451536907492913</v>
      </c>
      <c r="Q5" s="33">
        <f t="shared" si="1"/>
        <v>0.36260813481377202</v>
      </c>
      <c r="R5" s="33">
        <f t="shared" si="1"/>
        <v>-0.2670373190203848</v>
      </c>
      <c r="S5" s="33">
        <f t="shared" si="1"/>
        <v>0.92863209281719084</v>
      </c>
      <c r="T5" s="33">
        <f t="shared" si="1"/>
        <v>0.1976209045803235</v>
      </c>
    </row>
    <row r="6" spans="1:20" x14ac:dyDescent="0.3">
      <c r="A6" s="31">
        <v>1825</v>
      </c>
      <c r="B6" s="31">
        <v>2018</v>
      </c>
      <c r="C6" s="31">
        <v>10</v>
      </c>
      <c r="D6" s="31">
        <v>9.7E-5</v>
      </c>
      <c r="E6" s="31">
        <v>2.8632000000000001E-2</v>
      </c>
      <c r="F6" s="31">
        <v>2.5799999999999998E-4</v>
      </c>
      <c r="G6" s="31">
        <v>0.13213900000000001</v>
      </c>
      <c r="H6" s="31">
        <v>-0.78371400000000002</v>
      </c>
      <c r="I6" s="31">
        <v>20.290001</v>
      </c>
      <c r="J6" s="31">
        <v>14646.666667</v>
      </c>
      <c r="K6" s="31">
        <v>9921</v>
      </c>
      <c r="L6" s="31">
        <v>1</v>
      </c>
      <c r="M6" s="33">
        <f t="shared" si="2"/>
        <v>1.4795538955791037</v>
      </c>
      <c r="N6" s="33">
        <f t="shared" si="1"/>
        <v>-0.51827870493859629</v>
      </c>
      <c r="O6" s="33">
        <f t="shared" si="1"/>
        <v>0.13463425575904417</v>
      </c>
      <c r="P6" s="33">
        <f t="shared" si="1"/>
        <v>-0.3618665378117541</v>
      </c>
      <c r="Q6" s="33">
        <f t="shared" si="1"/>
        <v>0.34715797871243381</v>
      </c>
      <c r="R6" s="33">
        <f t="shared" si="1"/>
        <v>-6.8616361146951882E-2</v>
      </c>
      <c r="S6" s="33">
        <f t="shared" si="1"/>
        <v>-0.30466472186059823</v>
      </c>
      <c r="T6" s="33">
        <f t="shared" si="1"/>
        <v>0.57696385264154837</v>
      </c>
    </row>
    <row r="7" spans="1:20" x14ac:dyDescent="0.3">
      <c r="A7" s="32">
        <v>1825</v>
      </c>
      <c r="B7" s="32">
        <v>2018</v>
      </c>
      <c r="C7" s="32">
        <v>11</v>
      </c>
      <c r="D7" s="32">
        <v>8.6000000000000003E-5</v>
      </c>
      <c r="E7" s="32">
        <v>2.792E-2</v>
      </c>
      <c r="F7" s="32">
        <v>0</v>
      </c>
      <c r="G7" s="32">
        <v>0.13569500000000001</v>
      </c>
      <c r="H7" s="32">
        <v>-0.85012200000000004</v>
      </c>
      <c r="I7" s="32">
        <v>20.8475</v>
      </c>
      <c r="J7" s="32">
        <v>14452</v>
      </c>
      <c r="K7" s="32">
        <v>9033</v>
      </c>
      <c r="L7" s="32">
        <v>1</v>
      </c>
      <c r="M7" s="33">
        <f t="shared" si="2"/>
        <v>0.1828391805918877</v>
      </c>
      <c r="N7" s="33">
        <f t="shared" si="1"/>
        <v>-0.65205377583637203</v>
      </c>
      <c r="O7" s="33">
        <f t="shared" si="1"/>
        <v>-0.65923060492464947</v>
      </c>
      <c r="P7" s="33">
        <f t="shared" si="1"/>
        <v>-0.2064730750736323</v>
      </c>
      <c r="Q7" s="33">
        <f t="shared" si="1"/>
        <v>0.19794128784889867</v>
      </c>
      <c r="R7" s="33">
        <f t="shared" si="1"/>
        <v>9.4059352961108456E-2</v>
      </c>
      <c r="S7" s="33">
        <f t="shared" si="1"/>
        <v>-0.81894200962882402</v>
      </c>
      <c r="T7" s="33">
        <f t="shared" si="1"/>
        <v>0.27566104595248964</v>
      </c>
    </row>
    <row r="8" spans="1:20" x14ac:dyDescent="0.3">
      <c r="A8" s="31">
        <v>1825</v>
      </c>
      <c r="B8" s="31">
        <v>2018</v>
      </c>
      <c r="C8" s="31">
        <v>12</v>
      </c>
      <c r="D8" s="31">
        <v>8.5000000000000006E-5</v>
      </c>
      <c r="E8" s="31">
        <v>3.1746000000000003E-2</v>
      </c>
      <c r="F8" s="31">
        <v>0</v>
      </c>
      <c r="G8" s="31">
        <v>0.12900800000000001</v>
      </c>
      <c r="H8" s="31">
        <v>-0.65781199999999995</v>
      </c>
      <c r="I8" s="31">
        <v>17.850000000000001</v>
      </c>
      <c r="J8" s="31">
        <v>14157.333333</v>
      </c>
      <c r="K8" s="31">
        <v>6418</v>
      </c>
      <c r="L8" s="31">
        <v>1</v>
      </c>
      <c r="M8" s="33">
        <f t="shared" si="2"/>
        <v>6.4956024683959251E-2</v>
      </c>
      <c r="N8" s="33">
        <f t="shared" si="1"/>
        <v>6.6799343903641811E-2</v>
      </c>
      <c r="O8" s="33">
        <f t="shared" si="1"/>
        <v>-0.65923060492464947</v>
      </c>
      <c r="P8" s="33">
        <f t="shared" si="1"/>
        <v>-0.49868794721362641</v>
      </c>
      <c r="Q8" s="33">
        <f t="shared" si="1"/>
        <v>0.63005581953132317</v>
      </c>
      <c r="R8" s="33">
        <f t="shared" si="1"/>
        <v>-0.78059773707656099</v>
      </c>
      <c r="S8" s="33">
        <f t="shared" si="1"/>
        <v>-1.5974028351817837</v>
      </c>
      <c r="T8" s="33">
        <f t="shared" si="1"/>
        <v>-0.61162143095279042</v>
      </c>
    </row>
    <row r="9" spans="1:20" x14ac:dyDescent="0.3">
      <c r="A9" s="32">
        <v>1825</v>
      </c>
      <c r="B9" s="32">
        <v>2019</v>
      </c>
      <c r="C9" s="32">
        <v>1</v>
      </c>
      <c r="D9" s="32">
        <v>5.8999999999999998E-5</v>
      </c>
      <c r="E9" s="32">
        <v>3.1698999999999998E-2</v>
      </c>
      <c r="F9" s="32">
        <v>0</v>
      </c>
      <c r="G9" s="32">
        <v>0.13603100000000001</v>
      </c>
      <c r="H9" s="32">
        <v>-0.70105499999999998</v>
      </c>
      <c r="I9" s="32">
        <v>13.97</v>
      </c>
      <c r="J9" s="32">
        <v>14188.333333</v>
      </c>
      <c r="K9" s="32">
        <v>9717</v>
      </c>
      <c r="L9" s="32">
        <v>1</v>
      </c>
      <c r="M9" s="33">
        <f t="shared" si="2"/>
        <v>-3.0000060289221895</v>
      </c>
      <c r="N9" s="33">
        <f t="shared" si="1"/>
        <v>5.7968686133703359E-2</v>
      </c>
      <c r="O9" s="33">
        <f t="shared" si="1"/>
        <v>-0.65923060492464947</v>
      </c>
      <c r="P9" s="33">
        <f t="shared" si="1"/>
        <v>-0.19179022820073879</v>
      </c>
      <c r="Q9" s="33">
        <f t="shared" si="1"/>
        <v>0.53289015631285774</v>
      </c>
      <c r="R9" s="33">
        <f t="shared" si="1"/>
        <v>-1.9127643790602673</v>
      </c>
      <c r="S9" s="33">
        <f t="shared" si="1"/>
        <v>-1.5155059384685163</v>
      </c>
      <c r="T9" s="33">
        <f t="shared" si="1"/>
        <v>0.50774564029406188</v>
      </c>
    </row>
    <row r="10" spans="1:20" x14ac:dyDescent="0.3">
      <c r="A10" s="31">
        <v>1825</v>
      </c>
      <c r="B10" s="31">
        <v>2019</v>
      </c>
      <c r="C10" s="31">
        <v>2</v>
      </c>
      <c r="D10" s="31">
        <v>1E-4</v>
      </c>
      <c r="E10" s="31">
        <v>3.3397999999999997E-2</v>
      </c>
      <c r="F10" s="31">
        <v>8.0599999999999997E-4</v>
      </c>
      <c r="G10" s="31">
        <v>0.13664399999999999</v>
      </c>
      <c r="H10" s="31">
        <v>-0.94745400000000002</v>
      </c>
      <c r="I10" s="31">
        <v>24.0825</v>
      </c>
      <c r="J10" s="31">
        <v>14515.25</v>
      </c>
      <c r="K10" s="31">
        <v>8589</v>
      </c>
      <c r="L10" s="31">
        <v>1</v>
      </c>
      <c r="M10" s="33">
        <f t="shared" si="2"/>
        <v>1.8332033633028904</v>
      </c>
      <c r="N10" s="33">
        <f t="shared" si="1"/>
        <v>0.37718757020016491</v>
      </c>
      <c r="O10" s="33">
        <f t="shared" si="1"/>
        <v>1.8208278358158818</v>
      </c>
      <c r="P10" s="33">
        <f t="shared" si="1"/>
        <v>-0.16500277244751477</v>
      </c>
      <c r="Q10" s="33">
        <f t="shared" si="1"/>
        <v>-2.0760660035838006E-2</v>
      </c>
      <c r="R10" s="33">
        <f t="shared" si="1"/>
        <v>1.0380178804913374</v>
      </c>
      <c r="S10" s="33">
        <f t="shared" si="1"/>
        <v>-0.65184592197997981</v>
      </c>
      <c r="T10" s="33">
        <f t="shared" si="1"/>
        <v>0.12500964260796024</v>
      </c>
    </row>
    <row r="11" spans="1:20" x14ac:dyDescent="0.3">
      <c r="A11" s="32">
        <v>1825</v>
      </c>
      <c r="B11" s="32">
        <v>2019</v>
      </c>
      <c r="C11" s="32">
        <v>3</v>
      </c>
      <c r="D11" s="32">
        <v>8.5000000000000006E-5</v>
      </c>
      <c r="E11" s="32">
        <v>3.6183E-2</v>
      </c>
      <c r="F11" s="32">
        <v>4.3600000000000003E-4</v>
      </c>
      <c r="G11" s="32">
        <v>0.146564</v>
      </c>
      <c r="H11" s="32">
        <v>-1.128493</v>
      </c>
      <c r="I11" s="32">
        <v>18.915001</v>
      </c>
      <c r="J11" s="32">
        <v>14658</v>
      </c>
      <c r="K11" s="32">
        <v>7430</v>
      </c>
      <c r="L11" s="32">
        <v>1</v>
      </c>
      <c r="M11" s="33">
        <f t="shared" si="2"/>
        <v>6.4956024683959251E-2</v>
      </c>
      <c r="N11" s="33">
        <f t="shared" si="1"/>
        <v>0.90045101465284105</v>
      </c>
      <c r="O11" s="33">
        <f t="shared" si="1"/>
        <v>0.68233946971911208</v>
      </c>
      <c r="P11" s="33">
        <f t="shared" si="1"/>
        <v>0.26849080189505226</v>
      </c>
      <c r="Q11" s="33">
        <f t="shared" si="1"/>
        <v>-0.42754960861497787</v>
      </c>
      <c r="R11" s="33">
        <f t="shared" si="1"/>
        <v>-0.46983520978808485</v>
      </c>
      <c r="S11" s="33">
        <f t="shared" si="1"/>
        <v>-0.27472392179227217</v>
      </c>
      <c r="T11" s="33">
        <f t="shared" si="1"/>
        <v>-0.26824480891525948</v>
      </c>
    </row>
    <row r="12" spans="1:20" x14ac:dyDescent="0.3">
      <c r="A12" s="31">
        <v>1825</v>
      </c>
      <c r="B12" s="31">
        <v>2019</v>
      </c>
      <c r="C12" s="31">
        <v>4</v>
      </c>
      <c r="D12" s="31">
        <v>9.0000000000000006E-5</v>
      </c>
      <c r="E12" s="31">
        <v>3.5265999999999999E-2</v>
      </c>
      <c r="F12" s="31">
        <v>5.7000000000000003E-5</v>
      </c>
      <c r="G12" s="31">
        <v>0.16578599999999999</v>
      </c>
      <c r="H12" s="31">
        <v>-1.0259830000000001</v>
      </c>
      <c r="I12" s="31">
        <v>21.704999999999998</v>
      </c>
      <c r="J12" s="31">
        <v>14816</v>
      </c>
      <c r="K12" s="31">
        <v>8235</v>
      </c>
      <c r="L12" s="31">
        <v>1</v>
      </c>
      <c r="M12" s="33">
        <f t="shared" si="2"/>
        <v>0.65437180422360297</v>
      </c>
      <c r="N12" s="33">
        <f t="shared" si="1"/>
        <v>0.72815924497129558</v>
      </c>
      <c r="O12" s="33">
        <f t="shared" si="1"/>
        <v>-0.48384185663406593</v>
      </c>
      <c r="P12" s="33">
        <f t="shared" si="1"/>
        <v>1.1084720000818273</v>
      </c>
      <c r="Q12" s="33">
        <f t="shared" si="1"/>
        <v>-0.19721285731361415</v>
      </c>
      <c r="R12" s="33">
        <f t="shared" si="1"/>
        <v>0.34427401675003266</v>
      </c>
      <c r="S12" s="33">
        <f t="shared" si="1"/>
        <v>0.14268606790760738</v>
      </c>
      <c r="T12" s="33">
        <f t="shared" si="1"/>
        <v>4.8956858873219584E-3</v>
      </c>
    </row>
    <row r="13" spans="1:20" x14ac:dyDescent="0.3">
      <c r="A13" s="32">
        <v>1825</v>
      </c>
      <c r="B13" s="32">
        <v>2019</v>
      </c>
      <c r="C13" s="32">
        <v>5</v>
      </c>
      <c r="D13" s="32">
        <v>9.3999999999999994E-5</v>
      </c>
      <c r="E13" s="32">
        <v>3.3585999999999998E-2</v>
      </c>
      <c r="F13" s="32">
        <v>3.4400000000000001E-4</v>
      </c>
      <c r="G13" s="32">
        <v>0.15576899999999999</v>
      </c>
      <c r="H13" s="32">
        <v>-1.103135</v>
      </c>
      <c r="I13" s="32">
        <v>24.985001</v>
      </c>
      <c r="J13" s="32">
        <v>15056.5</v>
      </c>
      <c r="K13" s="32">
        <v>10506</v>
      </c>
      <c r="L13" s="32">
        <v>1</v>
      </c>
      <c r="M13" s="33">
        <f t="shared" si="2"/>
        <v>1.1259044278553167</v>
      </c>
      <c r="N13" s="33">
        <f t="shared" si="1"/>
        <v>0.41251020127991478</v>
      </c>
      <c r="O13" s="33">
        <f t="shared" si="1"/>
        <v>0.39925587598694218</v>
      </c>
      <c r="P13" s="33">
        <f t="shared" si="1"/>
        <v>0.67073962768369344</v>
      </c>
      <c r="Q13" s="33">
        <f t="shared" si="1"/>
        <v>-0.37057097882764017</v>
      </c>
      <c r="R13" s="33">
        <f t="shared" si="1"/>
        <v>1.3013636347585895</v>
      </c>
      <c r="S13" s="33">
        <f t="shared" si="1"/>
        <v>0.77804747627989246</v>
      </c>
      <c r="T13" s="33">
        <f t="shared" si="1"/>
        <v>0.77545725569684043</v>
      </c>
    </row>
    <row r="14" spans="1:20" x14ac:dyDescent="0.3">
      <c r="A14" s="31">
        <v>1825</v>
      </c>
      <c r="B14" s="31">
        <v>2019</v>
      </c>
      <c r="C14" s="31">
        <v>6</v>
      </c>
      <c r="D14" s="31">
        <v>9.2999999999999997E-5</v>
      </c>
      <c r="E14" s="31">
        <v>3.0235999999999999E-2</v>
      </c>
      <c r="F14" s="31">
        <v>2.3900000000000001E-4</v>
      </c>
      <c r="G14" s="31">
        <v>0.15407599999999999</v>
      </c>
      <c r="H14" s="31">
        <v>-0.96890699999999996</v>
      </c>
      <c r="I14" s="31">
        <v>23.6875</v>
      </c>
      <c r="J14" s="31">
        <v>15245.5</v>
      </c>
      <c r="K14" s="31">
        <v>10387</v>
      </c>
      <c r="L14" s="31">
        <v>1</v>
      </c>
      <c r="M14" s="33">
        <f t="shared" si="2"/>
        <v>1.0080212719473882</v>
      </c>
      <c r="N14" s="33">
        <f t="shared" si="1"/>
        <v>-0.21690902274754043</v>
      </c>
      <c r="O14" s="33">
        <f t="shared" si="1"/>
        <v>7.6171339662183105E-2</v>
      </c>
      <c r="P14" s="33">
        <f t="shared" si="1"/>
        <v>0.59675730698188245</v>
      </c>
      <c r="Q14" s="33">
        <f t="shared" si="1"/>
        <v>-6.8964877435780933E-2</v>
      </c>
      <c r="R14" s="33">
        <f t="shared" si="1"/>
        <v>0.92275864760897575</v>
      </c>
      <c r="S14" s="33">
        <f t="shared" si="1"/>
        <v>1.2773543626930395</v>
      </c>
      <c r="T14" s="33">
        <f t="shared" si="1"/>
        <v>0.73507996516080676</v>
      </c>
    </row>
    <row r="15" spans="1:20" x14ac:dyDescent="0.3">
      <c r="A15" s="32">
        <v>1825</v>
      </c>
      <c r="B15" s="32">
        <v>2019</v>
      </c>
      <c r="C15" s="32">
        <v>7</v>
      </c>
      <c r="D15" s="32">
        <v>8.8999999999999995E-5</v>
      </c>
      <c r="E15" s="32">
        <v>3.0039E-2</v>
      </c>
      <c r="F15" s="32">
        <v>3.8099999999999999E-4</v>
      </c>
      <c r="G15" s="32">
        <v>0.144486</v>
      </c>
      <c r="H15" s="32">
        <v>-1.042143</v>
      </c>
      <c r="I15" s="32">
        <v>26.549999</v>
      </c>
      <c r="J15" s="32">
        <v>15331.5</v>
      </c>
      <c r="K15" s="32">
        <v>7225</v>
      </c>
      <c r="L15" s="32">
        <v>1</v>
      </c>
      <c r="M15" s="33">
        <f t="shared" si="2"/>
        <v>0.536488648315673</v>
      </c>
      <c r="N15" s="33">
        <f t="shared" si="1"/>
        <v>-0.25392263084706529</v>
      </c>
      <c r="O15" s="33">
        <f t="shared" si="1"/>
        <v>0.51310471259661905</v>
      </c>
      <c r="P15" s="33">
        <f t="shared" si="1"/>
        <v>0.1776843858180511</v>
      </c>
      <c r="Q15" s="33">
        <f t="shared" si="1"/>
        <v>-0.23352386990780039</v>
      </c>
      <c r="R15" s="33">
        <f t="shared" si="1"/>
        <v>1.7580230498027172</v>
      </c>
      <c r="S15" s="33">
        <f t="shared" si="1"/>
        <v>1.5045522051879108</v>
      </c>
      <c r="T15" s="33">
        <f t="shared" si="1"/>
        <v>-0.3378023262252336</v>
      </c>
    </row>
    <row r="16" spans="1:20" x14ac:dyDescent="0.3">
      <c r="A16" s="31">
        <v>1825</v>
      </c>
      <c r="B16" s="31">
        <v>2019</v>
      </c>
      <c r="C16" s="31">
        <v>8</v>
      </c>
      <c r="D16" s="31">
        <v>8.3999999999999995E-5</v>
      </c>
      <c r="E16" s="31">
        <v>3.1613000000000002E-2</v>
      </c>
      <c r="F16" s="31">
        <v>2.1900000000000001E-4</v>
      </c>
      <c r="G16" s="31">
        <v>0.140291</v>
      </c>
      <c r="H16" s="31">
        <v>-1.2794779999999999</v>
      </c>
      <c r="I16" s="31">
        <v>21.9175</v>
      </c>
      <c r="J16" s="31">
        <v>15184.75</v>
      </c>
      <c r="K16" s="31">
        <v>0</v>
      </c>
      <c r="L16" s="31">
        <v>1</v>
      </c>
      <c r="M16" s="33">
        <f t="shared" si="2"/>
        <v>-5.2927131223970768E-2</v>
      </c>
      <c r="N16" s="33">
        <f t="shared" si="1"/>
        <v>4.1810461278073953E-2</v>
      </c>
      <c r="O16" s="33">
        <f t="shared" si="1"/>
        <v>1.4631427981276618E-2</v>
      </c>
      <c r="P16" s="33">
        <f t="shared" si="1"/>
        <v>-5.6327053479840314E-3</v>
      </c>
      <c r="Q16" s="33">
        <f t="shared" si="1"/>
        <v>-0.76680816285589515</v>
      </c>
      <c r="R16" s="33">
        <f t="shared" si="1"/>
        <v>0.40628056608548108</v>
      </c>
      <c r="S16" s="33">
        <f t="shared" si="1"/>
        <v>1.1168628634888138</v>
      </c>
      <c r="T16" s="33">
        <f t="shared" si="1"/>
        <v>-2.7892806801987127</v>
      </c>
    </row>
    <row r="17" spans="1:20" x14ac:dyDescent="0.3">
      <c r="A17" s="32">
        <v>1825</v>
      </c>
      <c r="B17" s="32">
        <v>2019</v>
      </c>
      <c r="C17" s="32">
        <v>9</v>
      </c>
      <c r="D17" s="32">
        <v>8.7000000000000001E-5</v>
      </c>
      <c r="E17" s="32">
        <v>2.9815000000000001E-2</v>
      </c>
      <c r="F17" s="32">
        <v>-3.0000000000000001E-6</v>
      </c>
      <c r="G17" s="32">
        <v>0.13261300000000001</v>
      </c>
      <c r="H17" s="32">
        <v>-1.3227800000000001</v>
      </c>
      <c r="I17" s="32">
        <v>19.100000000000001</v>
      </c>
      <c r="J17" s="32">
        <v>14913.5</v>
      </c>
      <c r="K17" s="32">
        <v>8399</v>
      </c>
      <c r="L17" s="32">
        <v>1</v>
      </c>
      <c r="M17" s="33">
        <f t="shared" si="2"/>
        <v>0.30072233649981611</v>
      </c>
      <c r="N17" s="33">
        <f t="shared" si="1"/>
        <v>-0.29600917000591576</v>
      </c>
      <c r="O17" s="33">
        <f t="shared" si="1"/>
        <v>-0.66846159167678543</v>
      </c>
      <c r="P17" s="33">
        <f t="shared" si="1"/>
        <v>-0.34115323597320796</v>
      </c>
      <c r="Q17" s="33">
        <f t="shared" si="1"/>
        <v>-0.86410639722182736</v>
      </c>
      <c r="R17" s="33">
        <f t="shared" si="1"/>
        <v>-0.41585332922098561</v>
      </c>
      <c r="S17" s="33">
        <f t="shared" si="1"/>
        <v>0.40026501724772295</v>
      </c>
      <c r="T17" s="33">
        <f t="shared" si="1"/>
        <v>6.0541699735301276E-2</v>
      </c>
    </row>
    <row r="18" spans="1:20" x14ac:dyDescent="0.3">
      <c r="A18" s="31">
        <v>1825</v>
      </c>
      <c r="B18" s="31">
        <v>2019</v>
      </c>
      <c r="C18" s="31">
        <v>10</v>
      </c>
      <c r="D18" s="31">
        <v>8.8999999999999995E-5</v>
      </c>
      <c r="E18" s="31">
        <v>2.8628000000000001E-2</v>
      </c>
      <c r="F18" s="31">
        <v>-2.0999999999999999E-5</v>
      </c>
      <c r="G18" s="31">
        <v>0.12673300000000001</v>
      </c>
      <c r="H18" s="31">
        <v>-1.09636</v>
      </c>
      <c r="I18" s="31">
        <v>25.700001</v>
      </c>
      <c r="J18" s="31">
        <v>14693.333333</v>
      </c>
      <c r="K18" s="31">
        <v>8148</v>
      </c>
      <c r="L18" s="31">
        <v>1</v>
      </c>
      <c r="M18" s="33">
        <f t="shared" si="2"/>
        <v>0.536488648315673</v>
      </c>
      <c r="N18" s="33">
        <f t="shared" ref="N18:N50" si="3">+(E18-AVERAGE(E$2:E$50))/_xlfn.STDEV.S(E$2:E$50)</f>
        <v>-0.5190302502807187</v>
      </c>
      <c r="O18" s="33">
        <f t="shared" ref="O18:O50" si="4">+(F18-AVERAGE(F$2:F$50))/_xlfn.STDEV.S(F$2:F$50)</f>
        <v>-0.72384751218960119</v>
      </c>
      <c r="P18" s="33">
        <f t="shared" ref="P18:P50" si="5">+(G18-AVERAGE(G$2:G$50))/_xlfn.STDEV.S(G$2:G$50)</f>
        <v>-0.59810305624884197</v>
      </c>
      <c r="Q18" s="33">
        <f t="shared" ref="Q18:Q50" si="6">+(H18-AVERAGE(H$2:H$50))/_xlfn.STDEV.S(H$2:H$50)</f>
        <v>-0.35534776655501571</v>
      </c>
      <c r="R18" s="33">
        <f t="shared" ref="R18:T50" si="7">+(I18-AVERAGE(I$2:I$50))/_xlfn.STDEV.S(I$2:I$50)</f>
        <v>1.5099974360519786</v>
      </c>
      <c r="S18" s="33">
        <f t="shared" si="7"/>
        <v>-0.18137907265561004</v>
      </c>
      <c r="T18" s="33">
        <f t="shared" si="7"/>
        <v>-2.4623845849106096E-2</v>
      </c>
    </row>
    <row r="19" spans="1:20" x14ac:dyDescent="0.3">
      <c r="A19" s="32">
        <v>1825</v>
      </c>
      <c r="B19" s="32">
        <v>2019</v>
      </c>
      <c r="C19" s="32">
        <v>11</v>
      </c>
      <c r="D19" s="32">
        <v>7.2000000000000002E-5</v>
      </c>
      <c r="E19" s="32">
        <v>3.0099000000000001E-2</v>
      </c>
      <c r="F19" s="32">
        <v>0</v>
      </c>
      <c r="G19" s="32">
        <v>0.14369299999999999</v>
      </c>
      <c r="H19" s="32">
        <v>-1.0971040000000001</v>
      </c>
      <c r="I19" s="32">
        <v>15.295</v>
      </c>
      <c r="J19" s="32">
        <v>14322.5</v>
      </c>
      <c r="K19" s="32">
        <v>6700</v>
      </c>
      <c r="L19" s="32">
        <v>1</v>
      </c>
      <c r="M19" s="33">
        <f t="shared" si="2"/>
        <v>-1.4675250021191151</v>
      </c>
      <c r="N19" s="33">
        <f t="shared" si="3"/>
        <v>-0.24264945071523006</v>
      </c>
      <c r="O19" s="33">
        <f t="shared" si="4"/>
        <v>-0.65923060492464947</v>
      </c>
      <c r="P19" s="33">
        <f t="shared" si="5"/>
        <v>0.14303111924006096</v>
      </c>
      <c r="Q19" s="33">
        <f t="shared" si="6"/>
        <v>-0.35701951119425318</v>
      </c>
      <c r="R19" s="33">
        <f t="shared" si="7"/>
        <v>-1.5261353067333576</v>
      </c>
      <c r="S19" s="33">
        <f t="shared" si="7"/>
        <v>-1.1610596910600546</v>
      </c>
      <c r="T19" s="33">
        <f t="shared" si="7"/>
        <v>-0.51593743153126503</v>
      </c>
    </row>
    <row r="20" spans="1:20" x14ac:dyDescent="0.3">
      <c r="A20" s="31">
        <v>1825</v>
      </c>
      <c r="B20" s="31">
        <v>2019</v>
      </c>
      <c r="C20" s="31">
        <v>12</v>
      </c>
      <c r="D20" s="31">
        <v>7.1000000000000005E-5</v>
      </c>
      <c r="E20" s="31">
        <v>3.0608E-2</v>
      </c>
      <c r="F20" s="31">
        <v>0</v>
      </c>
      <c r="G20" s="31">
        <v>0.13811599999999999</v>
      </c>
      <c r="H20" s="31">
        <v>-1.0877220000000001</v>
      </c>
      <c r="I20" s="31">
        <v>24.385000000000002</v>
      </c>
      <c r="J20" s="31">
        <v>14276.5</v>
      </c>
      <c r="K20" s="31">
        <v>4893</v>
      </c>
      <c r="L20" s="31">
        <v>1</v>
      </c>
      <c r="M20" s="33">
        <f t="shared" si="2"/>
        <v>-1.5854081580270436</v>
      </c>
      <c r="N20" s="33">
        <f t="shared" si="3"/>
        <v>-0.14701530593016313</v>
      </c>
      <c r="O20" s="33">
        <f t="shared" si="4"/>
        <v>-0.65923060492464947</v>
      </c>
      <c r="P20" s="33">
        <f t="shared" si="5"/>
        <v>-0.10067791948055324</v>
      </c>
      <c r="Q20" s="33">
        <f t="shared" si="6"/>
        <v>-0.33593845177849474</v>
      </c>
      <c r="R20" s="33">
        <f t="shared" si="7"/>
        <v>1.1262860271923874</v>
      </c>
      <c r="S20" s="33">
        <f t="shared" si="7"/>
        <v>-1.282584118441032</v>
      </c>
      <c r="T20" s="33">
        <f t="shared" si="7"/>
        <v>-1.1290614987465006</v>
      </c>
    </row>
    <row r="21" spans="1:20" x14ac:dyDescent="0.3">
      <c r="A21" s="32">
        <v>1825</v>
      </c>
      <c r="B21" s="32">
        <v>2020</v>
      </c>
      <c r="C21" s="32">
        <v>1</v>
      </c>
      <c r="D21" s="32">
        <v>7.6000000000000004E-5</v>
      </c>
      <c r="E21" s="32">
        <v>3.2638E-2</v>
      </c>
      <c r="F21" s="32">
        <v>0</v>
      </c>
      <c r="G21" s="32">
        <v>0.15156500000000001</v>
      </c>
      <c r="H21" s="32">
        <v>-1.2511429999999999</v>
      </c>
      <c r="I21" s="32">
        <v>15.4925</v>
      </c>
      <c r="J21" s="32">
        <v>14152.75</v>
      </c>
      <c r="K21" s="32">
        <v>7175</v>
      </c>
      <c r="L21" s="32">
        <v>1</v>
      </c>
      <c r="M21" s="33">
        <f t="shared" si="2"/>
        <v>-0.99599237848739974</v>
      </c>
      <c r="N21" s="33">
        <f t="shared" si="3"/>
        <v>0.23439395519692191</v>
      </c>
      <c r="O21" s="33">
        <f t="shared" si="4"/>
        <v>-0.65923060492464947</v>
      </c>
      <c r="P21" s="33">
        <f t="shared" si="5"/>
        <v>0.48702924597642094</v>
      </c>
      <c r="Q21" s="33">
        <f t="shared" si="6"/>
        <v>-0.70314030754300716</v>
      </c>
      <c r="R21" s="33">
        <f t="shared" si="7"/>
        <v>-1.4685056902921767</v>
      </c>
      <c r="S21" s="33">
        <f t="shared" si="7"/>
        <v>-1.6095112464496404</v>
      </c>
      <c r="T21" s="33">
        <f t="shared" si="7"/>
        <v>-0.35476757434961753</v>
      </c>
    </row>
    <row r="22" spans="1:20" x14ac:dyDescent="0.3">
      <c r="A22" s="31">
        <v>1825</v>
      </c>
      <c r="B22" s="31">
        <v>2020</v>
      </c>
      <c r="C22" s="31">
        <v>2</v>
      </c>
      <c r="D22" s="31">
        <v>9.2E-5</v>
      </c>
      <c r="E22" s="31">
        <v>3.5644000000000002E-2</v>
      </c>
      <c r="F22" s="31">
        <v>4.4200000000000001E-4</v>
      </c>
      <c r="G22" s="31">
        <v>0.14147299999999999</v>
      </c>
      <c r="H22" s="31">
        <v>-1.3228549999999999</v>
      </c>
      <c r="I22" s="31">
        <v>19.825001</v>
      </c>
      <c r="J22" s="31">
        <v>14406.5</v>
      </c>
      <c r="K22" s="31">
        <v>6679</v>
      </c>
      <c r="L22" s="31">
        <v>1</v>
      </c>
      <c r="M22" s="33">
        <f t="shared" si="2"/>
        <v>0.8901381160394598</v>
      </c>
      <c r="N22" s="33">
        <f t="shared" si="3"/>
        <v>0.7991802798018568</v>
      </c>
      <c r="O22" s="33">
        <f t="shared" si="4"/>
        <v>0.700801443223384</v>
      </c>
      <c r="P22" s="33">
        <f t="shared" si="5"/>
        <v>4.601945240130112E-2</v>
      </c>
      <c r="Q22" s="33">
        <f t="shared" si="6"/>
        <v>-0.8642749198669113</v>
      </c>
      <c r="R22" s="33">
        <f t="shared" si="7"/>
        <v>-0.20430128086922589</v>
      </c>
      <c r="S22" s="33">
        <f t="shared" si="7"/>
        <v>-0.93914551932087798</v>
      </c>
      <c r="T22" s="33">
        <f t="shared" si="7"/>
        <v>-0.5230628357435062</v>
      </c>
    </row>
    <row r="23" spans="1:20" x14ac:dyDescent="0.3">
      <c r="A23" s="32">
        <v>1825</v>
      </c>
      <c r="B23" s="32">
        <v>2020</v>
      </c>
      <c r="C23" s="32">
        <v>3</v>
      </c>
      <c r="D23" s="32">
        <v>7.7999999999999999E-5</v>
      </c>
      <c r="E23" s="32">
        <v>3.5906E-2</v>
      </c>
      <c r="F23" s="32">
        <v>6.7599999999999995E-4</v>
      </c>
      <c r="G23" s="32">
        <v>0.15532899999999999</v>
      </c>
      <c r="H23" s="32">
        <v>-1.0167029999999999</v>
      </c>
      <c r="I23" s="32">
        <v>22.68</v>
      </c>
      <c r="J23" s="32">
        <v>14691.75</v>
      </c>
      <c r="K23" s="32">
        <v>7590</v>
      </c>
      <c r="L23" s="32">
        <v>1</v>
      </c>
      <c r="M23" s="33">
        <f t="shared" si="2"/>
        <v>-0.76022606667154291</v>
      </c>
      <c r="N23" s="33">
        <f t="shared" si="3"/>
        <v>0.84840649971086946</v>
      </c>
      <c r="O23" s="33">
        <f t="shared" si="4"/>
        <v>1.4208184098899896</v>
      </c>
      <c r="P23" s="33">
        <f t="shared" si="5"/>
        <v>0.65151209011204758</v>
      </c>
      <c r="Q23" s="33">
        <f t="shared" si="6"/>
        <v>-0.17636098869517008</v>
      </c>
      <c r="R23" s="33">
        <f t="shared" si="7"/>
        <v>0.62877465487738193</v>
      </c>
      <c r="S23" s="33">
        <f t="shared" si="7"/>
        <v>-0.1855619777899245</v>
      </c>
      <c r="T23" s="33">
        <f t="shared" si="7"/>
        <v>-0.21395601491723085</v>
      </c>
    </row>
    <row r="24" spans="1:20" x14ac:dyDescent="0.3">
      <c r="A24" s="31">
        <v>1825</v>
      </c>
      <c r="B24" s="31">
        <v>2020</v>
      </c>
      <c r="C24" s="31">
        <v>4</v>
      </c>
      <c r="D24" s="31">
        <v>8.1000000000000004E-5</v>
      </c>
      <c r="E24" s="31">
        <v>3.5101E-2</v>
      </c>
      <c r="F24" s="31">
        <v>7.9799999999999999E-4</v>
      </c>
      <c r="G24" s="31">
        <v>0.15614700000000001</v>
      </c>
      <c r="H24" s="31">
        <v>-1.326214</v>
      </c>
      <c r="I24" s="31">
        <v>20.23</v>
      </c>
      <c r="J24" s="31">
        <v>14896.25</v>
      </c>
      <c r="K24" s="31">
        <v>5244</v>
      </c>
      <c r="L24" s="31">
        <v>1</v>
      </c>
      <c r="M24" s="33">
        <f t="shared" si="2"/>
        <v>-0.40657659894775605</v>
      </c>
      <c r="N24" s="33">
        <f t="shared" si="3"/>
        <v>0.69715799960874958</v>
      </c>
      <c r="O24" s="33">
        <f t="shared" si="4"/>
        <v>1.7962118711435193</v>
      </c>
      <c r="P24" s="33">
        <f t="shared" si="5"/>
        <v>0.68725783041569932</v>
      </c>
      <c r="Q24" s="33">
        <f t="shared" si="6"/>
        <v>-0.87182248739809176</v>
      </c>
      <c r="R24" s="33">
        <f t="shared" si="7"/>
        <v>-8.612438451954571E-2</v>
      </c>
      <c r="S24" s="33">
        <f t="shared" si="7"/>
        <v>0.35469335697985638</v>
      </c>
      <c r="T24" s="33">
        <f t="shared" si="7"/>
        <v>-1.0099654569133254</v>
      </c>
    </row>
    <row r="25" spans="1:20" x14ac:dyDescent="0.3">
      <c r="A25" s="32">
        <v>1825</v>
      </c>
      <c r="B25" s="32">
        <v>2020</v>
      </c>
      <c r="C25" s="32">
        <v>5</v>
      </c>
      <c r="D25" s="32">
        <v>8.2000000000000001E-5</v>
      </c>
      <c r="E25" s="32">
        <v>3.4234000000000001E-2</v>
      </c>
      <c r="F25" s="32">
        <v>2.9E-4</v>
      </c>
      <c r="G25" s="32">
        <v>0.14904999999999999</v>
      </c>
      <c r="H25" s="32">
        <v>-1.4358759999999999</v>
      </c>
      <c r="I25" s="32">
        <v>21.709999</v>
      </c>
      <c r="J25" s="32">
        <v>15233</v>
      </c>
      <c r="K25" s="32">
        <v>8212</v>
      </c>
      <c r="L25" s="32">
        <v>1</v>
      </c>
      <c r="M25" s="33">
        <f t="shared" si="2"/>
        <v>-0.28869344303982764</v>
      </c>
      <c r="N25" s="33">
        <f t="shared" si="3"/>
        <v>0.53426054670373357</v>
      </c>
      <c r="O25" s="33">
        <f t="shared" si="4"/>
        <v>0.23309811444849463</v>
      </c>
      <c r="P25" s="33">
        <f t="shared" si="5"/>
        <v>0.37712638917485219</v>
      </c>
      <c r="Q25" s="33">
        <f t="shared" si="6"/>
        <v>-1.1182295581347044</v>
      </c>
      <c r="R25" s="33">
        <f t="shared" si="7"/>
        <v>0.34573270258592914</v>
      </c>
      <c r="S25" s="33">
        <f t="shared" si="7"/>
        <v>1.2443314204699478</v>
      </c>
      <c r="T25" s="33">
        <f t="shared" si="7"/>
        <v>-2.908328249894654E-3</v>
      </c>
    </row>
    <row r="26" spans="1:20" x14ac:dyDescent="0.3">
      <c r="A26" s="31">
        <v>1825</v>
      </c>
      <c r="B26" s="31">
        <v>2020</v>
      </c>
      <c r="C26" s="31">
        <v>6</v>
      </c>
      <c r="D26" s="31">
        <v>8.2000000000000001E-5</v>
      </c>
      <c r="E26" s="31">
        <v>2.8126000000000002E-2</v>
      </c>
      <c r="F26" s="31">
        <v>6.6000000000000005E-5</v>
      </c>
      <c r="G26" s="31">
        <v>0.149232</v>
      </c>
      <c r="H26" s="31">
        <v>-1.4458219999999999</v>
      </c>
      <c r="I26" s="31">
        <v>20.6325</v>
      </c>
      <c r="J26" s="31">
        <v>15065.25</v>
      </c>
      <c r="K26" s="31">
        <v>9555</v>
      </c>
      <c r="L26" s="31">
        <v>1</v>
      </c>
      <c r="M26" s="33">
        <f t="shared" si="2"/>
        <v>-0.28869344303982764</v>
      </c>
      <c r="N26" s="33">
        <f t="shared" si="3"/>
        <v>-0.6133491907170715</v>
      </c>
      <c r="O26" s="33">
        <f t="shared" si="4"/>
        <v>-0.45614889637765804</v>
      </c>
      <c r="P26" s="33">
        <f t="shared" si="5"/>
        <v>0.3850795978976701</v>
      </c>
      <c r="Q26" s="33">
        <f t="shared" si="6"/>
        <v>-1.1405779078414977</v>
      </c>
      <c r="R26" s="33">
        <f t="shared" si="7"/>
        <v>3.1323314809949529E-2</v>
      </c>
      <c r="S26" s="33">
        <f t="shared" si="7"/>
        <v>0.80116353583605671</v>
      </c>
      <c r="T26" s="33">
        <f t="shared" si="7"/>
        <v>0.45277823637105796</v>
      </c>
    </row>
    <row r="27" spans="1:20" x14ac:dyDescent="0.3">
      <c r="A27" s="32">
        <v>1825</v>
      </c>
      <c r="B27" s="32">
        <v>2020</v>
      </c>
      <c r="C27" s="32">
        <v>7</v>
      </c>
      <c r="D27" s="32">
        <v>7.7000000000000001E-5</v>
      </c>
      <c r="E27" s="32">
        <v>2.7896000000000001E-2</v>
      </c>
      <c r="F27" s="32">
        <v>3.1000000000000001E-5</v>
      </c>
      <c r="G27" s="32">
        <v>0.13610900000000001</v>
      </c>
      <c r="H27" s="32">
        <v>-1.399435</v>
      </c>
      <c r="I27" s="32">
        <v>25.09</v>
      </c>
      <c r="J27" s="32">
        <v>15228.5</v>
      </c>
      <c r="K27" s="32">
        <v>10573</v>
      </c>
      <c r="L27" s="32">
        <v>1</v>
      </c>
      <c r="M27" s="33">
        <f t="shared" si="2"/>
        <v>-0.87810922257947133</v>
      </c>
      <c r="N27" s="33">
        <f t="shared" si="3"/>
        <v>-0.65656304788910602</v>
      </c>
      <c r="O27" s="33">
        <f t="shared" si="4"/>
        <v>-0.56384374181924446</v>
      </c>
      <c r="P27" s="33">
        <f t="shared" si="5"/>
        <v>-0.18838171017667449</v>
      </c>
      <c r="Q27" s="33">
        <f t="shared" si="6"/>
        <v>-1.0363477753410941</v>
      </c>
      <c r="R27" s="33">
        <f t="shared" si="7"/>
        <v>1.3320018732229313</v>
      </c>
      <c r="S27" s="33">
        <f t="shared" si="7"/>
        <v>1.2324431612696347</v>
      </c>
      <c r="T27" s="33">
        <f t="shared" si="7"/>
        <v>0.79819068818351491</v>
      </c>
    </row>
    <row r="28" spans="1:20" x14ac:dyDescent="0.3">
      <c r="A28" s="31">
        <v>1825</v>
      </c>
      <c r="B28" s="31">
        <v>2020</v>
      </c>
      <c r="C28" s="31">
        <v>8</v>
      </c>
      <c r="D28" s="31">
        <v>8.2000000000000001E-5</v>
      </c>
      <c r="E28" s="31">
        <v>2.7729E-2</v>
      </c>
      <c r="F28" s="31">
        <v>1.4799999999999999E-4</v>
      </c>
      <c r="G28" s="31">
        <v>0.137045</v>
      </c>
      <c r="H28" s="31">
        <v>-1.2896909999999999</v>
      </c>
      <c r="I28" s="31">
        <v>21.24</v>
      </c>
      <c r="J28" s="31">
        <v>15248</v>
      </c>
      <c r="K28" s="31">
        <v>0</v>
      </c>
      <c r="L28" s="31">
        <v>1</v>
      </c>
      <c r="M28" s="33">
        <f t="shared" si="2"/>
        <v>-0.28869344303982764</v>
      </c>
      <c r="N28" s="33">
        <f t="shared" si="3"/>
        <v>-0.68794006592271351</v>
      </c>
      <c r="O28" s="33">
        <f t="shared" si="4"/>
        <v>-0.20383525848594147</v>
      </c>
      <c r="P28" s="33">
        <f t="shared" si="5"/>
        <v>-0.14747949388790041</v>
      </c>
      <c r="Q28" s="33">
        <f t="shared" si="6"/>
        <v>-0.78975645317918886</v>
      </c>
      <c r="R28" s="33">
        <f t="shared" si="7"/>
        <v>0.20858909702775866</v>
      </c>
      <c r="S28" s="33">
        <f t="shared" si="7"/>
        <v>1.2839589511376579</v>
      </c>
      <c r="T28" s="33">
        <f t="shared" si="7"/>
        <v>-2.7892806801987127</v>
      </c>
    </row>
    <row r="29" spans="1:20" x14ac:dyDescent="0.3">
      <c r="A29" s="32">
        <v>1825</v>
      </c>
      <c r="B29" s="32">
        <v>2020</v>
      </c>
      <c r="C29" s="32">
        <v>9</v>
      </c>
      <c r="D29" s="32">
        <v>8.2000000000000001E-5</v>
      </c>
      <c r="E29" s="32">
        <v>3.347E-2</v>
      </c>
      <c r="F29" s="32">
        <v>2.23E-4</v>
      </c>
      <c r="G29" s="32">
        <v>0.130713</v>
      </c>
      <c r="H29" s="32">
        <v>-1.458723</v>
      </c>
      <c r="I29" s="32">
        <v>20.822500000000002</v>
      </c>
      <c r="J29" s="32">
        <v>15089.5</v>
      </c>
      <c r="K29" s="32">
        <v>9501</v>
      </c>
      <c r="L29" s="32">
        <v>1</v>
      </c>
      <c r="M29" s="33">
        <f t="shared" si="2"/>
        <v>-0.28869344303982764</v>
      </c>
      <c r="N29" s="33">
        <f t="shared" si="3"/>
        <v>0.39071538635836744</v>
      </c>
      <c r="O29" s="33">
        <f t="shared" si="4"/>
        <v>2.6939410317457883E-2</v>
      </c>
      <c r="P29" s="33">
        <f t="shared" si="5"/>
        <v>-0.42418123912349848</v>
      </c>
      <c r="Q29" s="33">
        <f t="shared" si="6"/>
        <v>-1.1695660497646165</v>
      </c>
      <c r="R29" s="33">
        <f t="shared" si="7"/>
        <v>8.6764464803997368E-2</v>
      </c>
      <c r="S29" s="33">
        <f t="shared" si="7"/>
        <v>0.86522804374885465</v>
      </c>
      <c r="T29" s="33">
        <f t="shared" si="7"/>
        <v>0.43445576839672329</v>
      </c>
    </row>
    <row r="30" spans="1:20" x14ac:dyDescent="0.3">
      <c r="A30" s="31">
        <v>1825</v>
      </c>
      <c r="B30" s="31">
        <v>2020</v>
      </c>
      <c r="C30" s="31">
        <v>10</v>
      </c>
      <c r="D30" s="31">
        <v>7.6000000000000004E-5</v>
      </c>
      <c r="E30" s="31">
        <v>3.1739000000000003E-2</v>
      </c>
      <c r="F30" s="31">
        <v>-1.1900000000000001E-4</v>
      </c>
      <c r="G30" s="31">
        <v>0.13040099999999999</v>
      </c>
      <c r="H30" s="31">
        <v>-1.1629560000000001</v>
      </c>
      <c r="I30" s="31">
        <v>22.022500999999998</v>
      </c>
      <c r="J30" s="31">
        <v>14637</v>
      </c>
      <c r="K30" s="31">
        <v>10012</v>
      </c>
      <c r="L30" s="31">
        <v>1</v>
      </c>
      <c r="M30" s="33">
        <f t="shared" si="2"/>
        <v>-0.99599237848739974</v>
      </c>
      <c r="N30" s="33">
        <f t="shared" si="3"/>
        <v>6.5484139554927712E-2</v>
      </c>
      <c r="O30" s="33">
        <f t="shared" si="4"/>
        <v>-1.0253930794260431</v>
      </c>
      <c r="P30" s="33">
        <f t="shared" si="5"/>
        <v>-0.43781531121975692</v>
      </c>
      <c r="Q30" s="33">
        <f t="shared" si="6"/>
        <v>-0.50498688751556264</v>
      </c>
      <c r="R30" s="33">
        <f t="shared" si="7"/>
        <v>0.43691938814087511</v>
      </c>
      <c r="S30" s="33">
        <f t="shared" si="7"/>
        <v>-0.33020246472706632</v>
      </c>
      <c r="T30" s="33">
        <f t="shared" si="7"/>
        <v>0.60784060422792718</v>
      </c>
    </row>
    <row r="31" spans="1:20" x14ac:dyDescent="0.3">
      <c r="A31" s="32">
        <v>1825</v>
      </c>
      <c r="B31" s="32">
        <v>2020</v>
      </c>
      <c r="C31" s="32">
        <v>11</v>
      </c>
      <c r="D31" s="32">
        <v>9.7E-5</v>
      </c>
      <c r="E31" s="32">
        <v>3.1918000000000002E-2</v>
      </c>
      <c r="F31" s="32">
        <v>8.9099999999999997E-4</v>
      </c>
      <c r="G31" s="32">
        <v>0.12820400000000001</v>
      </c>
      <c r="H31" s="32">
        <v>-1.3972770000000001</v>
      </c>
      <c r="I31" s="32">
        <v>22.7925</v>
      </c>
      <c r="J31" s="32">
        <v>14454.666667</v>
      </c>
      <c r="K31" s="32">
        <v>10009</v>
      </c>
      <c r="L31" s="32">
        <v>1</v>
      </c>
      <c r="M31" s="33">
        <f t="shared" si="2"/>
        <v>1.4795538955791037</v>
      </c>
      <c r="N31" s="33">
        <f t="shared" si="3"/>
        <v>9.9115793614901929E-2</v>
      </c>
      <c r="O31" s="33">
        <f t="shared" si="4"/>
        <v>2.0823724604597347</v>
      </c>
      <c r="P31" s="33">
        <f t="shared" si="5"/>
        <v>-0.53382190223090698</v>
      </c>
      <c r="Q31" s="33">
        <f t="shared" si="6"/>
        <v>-1.0314988170998658</v>
      </c>
      <c r="R31" s="33">
        <f t="shared" si="7"/>
        <v>0.66160165158438389</v>
      </c>
      <c r="S31" s="33">
        <f t="shared" si="7"/>
        <v>-0.81189711440728729</v>
      </c>
      <c r="T31" s="33">
        <f t="shared" si="7"/>
        <v>0.60682268934046413</v>
      </c>
    </row>
    <row r="32" spans="1:20" x14ac:dyDescent="0.3">
      <c r="A32" s="31">
        <v>1825</v>
      </c>
      <c r="B32" s="31">
        <v>2020</v>
      </c>
      <c r="C32" s="31">
        <v>12</v>
      </c>
      <c r="D32" s="31">
        <v>6.8999999999999997E-5</v>
      </c>
      <c r="E32" s="31">
        <v>3.3144E-2</v>
      </c>
      <c r="F32" s="31">
        <v>0</v>
      </c>
      <c r="G32" s="31">
        <v>0.133829</v>
      </c>
      <c r="H32" s="31">
        <v>-1.149357</v>
      </c>
      <c r="I32" s="31">
        <v>11.685</v>
      </c>
      <c r="J32" s="31">
        <v>14119.25</v>
      </c>
      <c r="K32" s="31">
        <v>8058</v>
      </c>
      <c r="L32" s="31">
        <v>1</v>
      </c>
      <c r="M32" s="33">
        <f t="shared" si="2"/>
        <v>-1.821174469842902</v>
      </c>
      <c r="N32" s="33">
        <f t="shared" si="3"/>
        <v>0.32946444097539718</v>
      </c>
      <c r="O32" s="33">
        <f t="shared" si="4"/>
        <v>-0.65923060492464947</v>
      </c>
      <c r="P32" s="33">
        <f t="shared" si="5"/>
        <v>-0.28801531395702262</v>
      </c>
      <c r="Q32" s="33">
        <f t="shared" si="6"/>
        <v>-0.47443036150885809</v>
      </c>
      <c r="R32" s="33">
        <f t="shared" si="7"/>
        <v>-2.579517156620259</v>
      </c>
      <c r="S32" s="33">
        <f t="shared" si="7"/>
        <v>-1.6980127316075262</v>
      </c>
      <c r="T32" s="33">
        <f t="shared" si="7"/>
        <v>-5.5161292472997191E-2</v>
      </c>
    </row>
    <row r="33" spans="1:20" x14ac:dyDescent="0.3">
      <c r="A33" s="32">
        <v>1825</v>
      </c>
      <c r="B33" s="32">
        <v>2021</v>
      </c>
      <c r="C33" s="32">
        <v>1</v>
      </c>
      <c r="D33" s="32">
        <v>7.4999999999999993E-5</v>
      </c>
      <c r="E33" s="32">
        <v>3.4687000000000003E-2</v>
      </c>
      <c r="F33" s="32">
        <v>0</v>
      </c>
      <c r="G33" s="32">
        <v>0.14730599999999999</v>
      </c>
      <c r="H33" s="32">
        <v>-1.324713</v>
      </c>
      <c r="I33" s="32">
        <v>19.690000999999999</v>
      </c>
      <c r="J33" s="32">
        <v>14178</v>
      </c>
      <c r="K33" s="32">
        <v>9782</v>
      </c>
      <c r="L33" s="32">
        <v>1</v>
      </c>
      <c r="M33" s="33">
        <f t="shared" si="2"/>
        <v>-1.1138755343953297</v>
      </c>
      <c r="N33" s="33">
        <f t="shared" si="3"/>
        <v>0.61937305669908838</v>
      </c>
      <c r="O33" s="33">
        <f t="shared" si="4"/>
        <v>-0.65923060492464947</v>
      </c>
      <c r="P33" s="33">
        <f t="shared" si="5"/>
        <v>0.30091542207269151</v>
      </c>
      <c r="Q33" s="33">
        <f t="shared" si="6"/>
        <v>-0.86844978752780266</v>
      </c>
      <c r="R33" s="33">
        <f t="shared" si="7"/>
        <v>-0.2436936769176285</v>
      </c>
      <c r="S33" s="33">
        <f t="shared" si="7"/>
        <v>-1.542804903158995</v>
      </c>
      <c r="T33" s="33">
        <f t="shared" si="7"/>
        <v>0.52980046285576099</v>
      </c>
    </row>
    <row r="34" spans="1:20" x14ac:dyDescent="0.3">
      <c r="A34" s="31">
        <v>1825</v>
      </c>
      <c r="B34" s="31">
        <v>2021</v>
      </c>
      <c r="C34" s="31">
        <v>2</v>
      </c>
      <c r="D34" s="31">
        <v>8.0000000000000007E-5</v>
      </c>
      <c r="E34" s="31">
        <v>3.1775999999999999E-2</v>
      </c>
      <c r="F34" s="31">
        <v>1.2999999999999999E-3</v>
      </c>
      <c r="G34" s="31">
        <v>0.14543900000000001</v>
      </c>
      <c r="H34" s="31">
        <v>-1.337475</v>
      </c>
      <c r="I34" s="31">
        <v>22.987499</v>
      </c>
      <c r="J34" s="31">
        <v>14538</v>
      </c>
      <c r="K34" s="31">
        <v>10217</v>
      </c>
      <c r="L34" s="31">
        <v>1</v>
      </c>
      <c r="M34" s="33">
        <f t="shared" si="2"/>
        <v>-0.52445975485568452</v>
      </c>
      <c r="N34" s="33">
        <f t="shared" si="3"/>
        <v>7.2435933969558441E-2</v>
      </c>
      <c r="O34" s="33">
        <f t="shared" si="4"/>
        <v>3.3408636543342722</v>
      </c>
      <c r="P34" s="33">
        <f t="shared" si="5"/>
        <v>0.21932948424027587</v>
      </c>
      <c r="Q34" s="33">
        <f t="shared" si="6"/>
        <v>-0.89712560081536474</v>
      </c>
      <c r="R34" s="33">
        <f t="shared" si="7"/>
        <v>0.71850148741432718</v>
      </c>
      <c r="S34" s="33">
        <f t="shared" si="7"/>
        <v>-0.59174416713395295</v>
      </c>
      <c r="T34" s="33">
        <f t="shared" si="7"/>
        <v>0.67739812153790135</v>
      </c>
    </row>
    <row r="35" spans="1:20" x14ac:dyDescent="0.3">
      <c r="A35" s="32">
        <v>1825</v>
      </c>
      <c r="B35" s="32">
        <v>2021</v>
      </c>
      <c r="C35" s="32">
        <v>3</v>
      </c>
      <c r="D35" s="32">
        <v>8.2000000000000001E-5</v>
      </c>
      <c r="E35" s="32">
        <v>3.6826999999999999E-2</v>
      </c>
      <c r="F35" s="32">
        <v>4.8999999999999998E-5</v>
      </c>
      <c r="G35" s="32">
        <v>0.15479399999999999</v>
      </c>
      <c r="H35" s="32">
        <v>-1.2608760000000001</v>
      </c>
      <c r="I35" s="32">
        <v>20.195</v>
      </c>
      <c r="J35" s="32">
        <v>14524</v>
      </c>
      <c r="K35" s="32">
        <v>11469</v>
      </c>
      <c r="L35" s="32">
        <v>1</v>
      </c>
      <c r="M35" s="33">
        <f t="shared" si="2"/>
        <v>-0.28869344303982764</v>
      </c>
      <c r="N35" s="33">
        <f t="shared" si="3"/>
        <v>1.0214498147345368</v>
      </c>
      <c r="O35" s="33">
        <f t="shared" si="4"/>
        <v>-0.50845782130642858</v>
      </c>
      <c r="P35" s="33">
        <f t="shared" si="5"/>
        <v>0.62813315238288658</v>
      </c>
      <c r="Q35" s="33">
        <f t="shared" si="6"/>
        <v>-0.72501005293776111</v>
      </c>
      <c r="R35" s="33">
        <f t="shared" si="7"/>
        <v>-9.6337227939501863E-2</v>
      </c>
      <c r="S35" s="33">
        <f t="shared" si="7"/>
        <v>-0.62872986242381568</v>
      </c>
      <c r="T35" s="33">
        <f t="shared" si="7"/>
        <v>1.1022079345724751</v>
      </c>
    </row>
    <row r="36" spans="1:20" x14ac:dyDescent="0.3">
      <c r="A36" s="31">
        <v>1825</v>
      </c>
      <c r="B36" s="31">
        <v>2021</v>
      </c>
      <c r="C36" s="31">
        <v>4</v>
      </c>
      <c r="D36" s="31">
        <v>8.2000000000000001E-5</v>
      </c>
      <c r="E36" s="31">
        <v>3.7034999999999998E-2</v>
      </c>
      <c r="F36" s="31">
        <v>7.6199999999999998E-4</v>
      </c>
      <c r="G36" s="31">
        <v>0.158662</v>
      </c>
      <c r="H36" s="31">
        <v>-1.589915</v>
      </c>
      <c r="I36" s="31">
        <v>22.875</v>
      </c>
      <c r="J36" s="31">
        <v>14827</v>
      </c>
      <c r="K36" s="31">
        <v>8967</v>
      </c>
      <c r="L36" s="31">
        <v>1</v>
      </c>
      <c r="M36" s="33">
        <f t="shared" si="2"/>
        <v>-0.28869344303982764</v>
      </c>
      <c r="N36" s="33">
        <f t="shared" si="3"/>
        <v>1.0605301725248981</v>
      </c>
      <c r="O36" s="33">
        <f t="shared" si="4"/>
        <v>1.6854400301178876</v>
      </c>
      <c r="P36" s="33">
        <f t="shared" si="5"/>
        <v>0.79716068721726685</v>
      </c>
      <c r="Q36" s="33">
        <f t="shared" si="6"/>
        <v>-1.4643503544834588</v>
      </c>
      <c r="R36" s="33">
        <f t="shared" si="7"/>
        <v>0.68567478250285174</v>
      </c>
      <c r="S36" s="33">
        <f t="shared" si="7"/>
        <v>0.17174625706392813</v>
      </c>
      <c r="T36" s="33">
        <f t="shared" si="7"/>
        <v>0.25326691842830285</v>
      </c>
    </row>
    <row r="37" spans="1:20" x14ac:dyDescent="0.3">
      <c r="A37" s="32">
        <v>1825</v>
      </c>
      <c r="B37" s="32">
        <v>2021</v>
      </c>
      <c r="C37" s="32">
        <v>5</v>
      </c>
      <c r="D37" s="32">
        <v>9.2E-5</v>
      </c>
      <c r="E37" s="32">
        <v>3.3232999999999999E-2</v>
      </c>
      <c r="F37" s="32">
        <v>2.7700000000000001E-4</v>
      </c>
      <c r="G37" s="32">
        <v>0.15667200000000001</v>
      </c>
      <c r="H37" s="32">
        <v>-1.7580359999999999</v>
      </c>
      <c r="I37" s="32">
        <v>23.387498999999998</v>
      </c>
      <c r="J37" s="32">
        <v>14919</v>
      </c>
      <c r="K37" s="32">
        <v>9788</v>
      </c>
      <c r="L37" s="32">
        <v>1</v>
      </c>
      <c r="M37" s="33">
        <f t="shared" si="2"/>
        <v>0.8901381160394598</v>
      </c>
      <c r="N37" s="33">
        <f t="shared" si="3"/>
        <v>0.34618632483761891</v>
      </c>
      <c r="O37" s="33">
        <f t="shared" si="4"/>
        <v>0.19309717185590544</v>
      </c>
      <c r="P37" s="33">
        <f t="shared" si="5"/>
        <v>0.71019977865459505</v>
      </c>
      <c r="Q37" s="33">
        <f t="shared" si="6"/>
        <v>-1.8421129626732611</v>
      </c>
      <c r="R37" s="33">
        <f t="shared" si="7"/>
        <v>0.8352196979281109</v>
      </c>
      <c r="S37" s="33">
        <f t="shared" si="7"/>
        <v>0.4147951118258833</v>
      </c>
      <c r="T37" s="33">
        <f t="shared" si="7"/>
        <v>0.5318362926306871</v>
      </c>
    </row>
    <row r="38" spans="1:20" x14ac:dyDescent="0.3">
      <c r="A38" s="31">
        <v>1825</v>
      </c>
      <c r="B38" s="31">
        <v>2021</v>
      </c>
      <c r="C38" s="31">
        <v>6</v>
      </c>
      <c r="D38" s="31">
        <v>8.8999999999999995E-5</v>
      </c>
      <c r="E38" s="31">
        <v>2.9007999999999999E-2</v>
      </c>
      <c r="F38" s="31">
        <v>2.1999999999999999E-5</v>
      </c>
      <c r="G38" s="31">
        <v>0.15245400000000001</v>
      </c>
      <c r="H38" s="31">
        <v>-1.459322</v>
      </c>
      <c r="I38" s="31">
        <v>23.614999999999998</v>
      </c>
      <c r="J38" s="31">
        <v>15041.25</v>
      </c>
      <c r="K38" s="31">
        <v>9101</v>
      </c>
      <c r="L38" s="31">
        <v>1</v>
      </c>
      <c r="M38" s="33">
        <f t="shared" si="2"/>
        <v>0.536488648315673</v>
      </c>
      <c r="N38" s="33">
        <f t="shared" si="3"/>
        <v>-0.44763344277909717</v>
      </c>
      <c r="O38" s="33">
        <f t="shared" si="4"/>
        <v>-0.59153670207565234</v>
      </c>
      <c r="P38" s="33">
        <f t="shared" si="5"/>
        <v>0.52587761166095137</v>
      </c>
      <c r="Q38" s="33">
        <f t="shared" si="6"/>
        <v>-1.1709119839566906</v>
      </c>
      <c r="R38" s="33">
        <f t="shared" si="7"/>
        <v>0.90160347195335189</v>
      </c>
      <c r="S38" s="33">
        <f t="shared" si="7"/>
        <v>0.73775948676772052</v>
      </c>
      <c r="T38" s="33">
        <f t="shared" si="7"/>
        <v>0.2987337834016518</v>
      </c>
    </row>
    <row r="39" spans="1:20" x14ac:dyDescent="0.3">
      <c r="A39" s="32">
        <v>1825</v>
      </c>
      <c r="B39" s="32">
        <v>2021</v>
      </c>
      <c r="C39" s="32">
        <v>7</v>
      </c>
      <c r="D39" s="32">
        <v>8.7000000000000001E-5</v>
      </c>
      <c r="E39" s="32">
        <v>3.0925000000000001E-2</v>
      </c>
      <c r="F39" s="32">
        <v>2.99E-4</v>
      </c>
      <c r="G39" s="32">
        <v>0.14527000000000001</v>
      </c>
      <c r="H39" s="32">
        <v>-0.44351499999999999</v>
      </c>
      <c r="I39" s="32">
        <v>19.700001</v>
      </c>
      <c r="J39" s="32">
        <v>15087.5</v>
      </c>
      <c r="K39" s="32">
        <v>12648</v>
      </c>
      <c r="L39" s="32">
        <v>1</v>
      </c>
      <c r="M39" s="33">
        <f t="shared" si="2"/>
        <v>0.30072233649981611</v>
      </c>
      <c r="N39" s="33">
        <f t="shared" si="3"/>
        <v>-8.7455337566967842E-2</v>
      </c>
      <c r="O39" s="33">
        <f t="shared" si="4"/>
        <v>0.26079107470490254</v>
      </c>
      <c r="P39" s="33">
        <f t="shared" si="5"/>
        <v>0.21194436185480262</v>
      </c>
      <c r="Q39" s="33">
        <f t="shared" si="6"/>
        <v>1.1115744498466915</v>
      </c>
      <c r="R39" s="33">
        <f t="shared" si="7"/>
        <v>-0.24077572165478345</v>
      </c>
      <c r="S39" s="33">
        <f t="shared" si="7"/>
        <v>0.85994437299315996</v>
      </c>
      <c r="T39" s="33">
        <f t="shared" si="7"/>
        <v>1.5022484853454485</v>
      </c>
    </row>
    <row r="40" spans="1:20" x14ac:dyDescent="0.3">
      <c r="A40" s="31">
        <v>1825</v>
      </c>
      <c r="B40" s="31">
        <v>2021</v>
      </c>
      <c r="C40" s="31">
        <v>8</v>
      </c>
      <c r="D40" s="31">
        <v>8.0000000000000007E-5</v>
      </c>
      <c r="E40" s="31">
        <v>3.9031000000000003E-2</v>
      </c>
      <c r="F40" s="31">
        <v>-2.6999999999999999E-5</v>
      </c>
      <c r="G40" s="31">
        <v>0.13955300000000001</v>
      </c>
      <c r="H40" s="31">
        <v>-0.279501</v>
      </c>
      <c r="I40" s="31">
        <v>12.555</v>
      </c>
      <c r="J40" s="31">
        <v>15088.5</v>
      </c>
      <c r="K40" s="31">
        <v>0</v>
      </c>
      <c r="L40" s="31">
        <v>1</v>
      </c>
      <c r="M40" s="33">
        <f t="shared" si="2"/>
        <v>-0.52445975485568452</v>
      </c>
      <c r="N40" s="33">
        <f t="shared" si="3"/>
        <v>1.435551298243944</v>
      </c>
      <c r="O40" s="33">
        <f t="shared" si="4"/>
        <v>-0.74230948569387323</v>
      </c>
      <c r="P40" s="33">
        <f t="shared" si="5"/>
        <v>-3.7882529729517216E-2</v>
      </c>
      <c r="Q40" s="33">
        <f t="shared" si="6"/>
        <v>1.4801087579916716</v>
      </c>
      <c r="R40" s="33">
        <f t="shared" si="7"/>
        <v>-2.325655048752779</v>
      </c>
      <c r="S40" s="33">
        <f t="shared" si="7"/>
        <v>0.8625862083710073</v>
      </c>
      <c r="T40" s="33">
        <f t="shared" si="7"/>
        <v>-2.7892806801987127</v>
      </c>
    </row>
    <row r="41" spans="1:20" x14ac:dyDescent="0.3">
      <c r="A41" s="32">
        <v>1825</v>
      </c>
      <c r="B41" s="32">
        <v>2021</v>
      </c>
      <c r="C41" s="32">
        <v>9</v>
      </c>
      <c r="D41" s="32">
        <v>9.2999999999999997E-5</v>
      </c>
      <c r="E41" s="32">
        <v>3.4811000000000002E-2</v>
      </c>
      <c r="F41" s="32">
        <v>7.6000000000000004E-5</v>
      </c>
      <c r="G41" s="32">
        <v>0.13634399999999999</v>
      </c>
      <c r="H41" s="32">
        <v>-0.58888700000000005</v>
      </c>
      <c r="I41" s="32">
        <v>18.59</v>
      </c>
      <c r="J41" s="32">
        <v>15062.333333</v>
      </c>
      <c r="K41" s="32">
        <v>9480</v>
      </c>
      <c r="L41" s="32">
        <v>1</v>
      </c>
      <c r="M41" s="33">
        <f t="shared" si="2"/>
        <v>1.0080212719473882</v>
      </c>
      <c r="N41" s="33">
        <f t="shared" si="3"/>
        <v>0.64267096230488052</v>
      </c>
      <c r="O41" s="33">
        <f t="shared" si="4"/>
        <v>-0.42537894053720476</v>
      </c>
      <c r="P41" s="33">
        <f t="shared" si="5"/>
        <v>-0.17811245715545507</v>
      </c>
      <c r="Q41" s="33">
        <f t="shared" si="6"/>
        <v>0.78492813036389064</v>
      </c>
      <c r="R41" s="33">
        <f t="shared" si="7"/>
        <v>-0.56466904762606085</v>
      </c>
      <c r="S41" s="33">
        <f t="shared" si="7"/>
        <v>0.79345818177005811</v>
      </c>
      <c r="T41" s="33">
        <f t="shared" si="7"/>
        <v>0.42733036418448206</v>
      </c>
    </row>
    <row r="42" spans="1:20" x14ac:dyDescent="0.3">
      <c r="A42" s="31">
        <v>1825</v>
      </c>
      <c r="B42" s="31">
        <v>2021</v>
      </c>
      <c r="C42" s="31">
        <v>10</v>
      </c>
      <c r="D42" s="31">
        <v>9.3999999999999994E-5</v>
      </c>
      <c r="E42" s="31">
        <v>3.1368E-2</v>
      </c>
      <c r="F42" s="31">
        <v>7.45E-4</v>
      </c>
      <c r="G42" s="31">
        <v>0.12715000000000001</v>
      </c>
      <c r="H42" s="31">
        <v>-0.26161699999999999</v>
      </c>
      <c r="I42" s="31">
        <v>24.9925</v>
      </c>
      <c r="J42" s="31">
        <v>14752.666667</v>
      </c>
      <c r="K42" s="31">
        <v>8953</v>
      </c>
      <c r="L42" s="31">
        <v>1</v>
      </c>
      <c r="M42" s="33">
        <f t="shared" si="2"/>
        <v>1.1259044278553167</v>
      </c>
      <c r="N42" s="33">
        <f t="shared" si="3"/>
        <v>-4.2216909269194615E-3</v>
      </c>
      <c r="O42" s="33">
        <f t="shared" si="4"/>
        <v>1.6331311051891173</v>
      </c>
      <c r="P42" s="33">
        <f t="shared" si="5"/>
        <v>-0.57988059450480467</v>
      </c>
      <c r="Q42" s="33">
        <f t="shared" si="6"/>
        <v>1.5202935444541981</v>
      </c>
      <c r="R42" s="33">
        <f t="shared" si="7"/>
        <v>1.3035518094101963</v>
      </c>
      <c r="S42" s="33">
        <f t="shared" si="7"/>
        <v>-2.4630171808780268E-2</v>
      </c>
      <c r="T42" s="33">
        <f t="shared" si="7"/>
        <v>0.24851664895347533</v>
      </c>
    </row>
    <row r="43" spans="1:20" x14ac:dyDescent="0.3">
      <c r="A43" s="32">
        <v>1825</v>
      </c>
      <c r="B43" s="32">
        <v>2021</v>
      </c>
      <c r="C43" s="32">
        <v>11</v>
      </c>
      <c r="D43" s="32">
        <v>7.8999999999999996E-5</v>
      </c>
      <c r="E43" s="32">
        <v>3.1343000000000003E-2</v>
      </c>
      <c r="F43" s="32">
        <v>-4.7100000000000001E-4</v>
      </c>
      <c r="G43" s="32">
        <v>0.13425100000000001</v>
      </c>
      <c r="H43" s="32">
        <v>-0.301344</v>
      </c>
      <c r="I43" s="32">
        <v>15.8225</v>
      </c>
      <c r="J43" s="32">
        <v>14295.5</v>
      </c>
      <c r="K43" s="32">
        <v>9751</v>
      </c>
      <c r="L43" s="32">
        <v>1</v>
      </c>
      <c r="M43" s="33">
        <f t="shared" si="2"/>
        <v>-0.64234291076361449</v>
      </c>
      <c r="N43" s="33">
        <f t="shared" si="3"/>
        <v>-8.9188493151835368E-3</v>
      </c>
      <c r="O43" s="33">
        <f t="shared" si="4"/>
        <v>-2.1084955250099973</v>
      </c>
      <c r="P43" s="33">
        <f t="shared" si="5"/>
        <v>-0.26957435746785269</v>
      </c>
      <c r="Q43" s="33">
        <f t="shared" si="6"/>
        <v>1.4310282228372895</v>
      </c>
      <c r="R43" s="33">
        <f t="shared" si="7"/>
        <v>-1.3722131666183048</v>
      </c>
      <c r="S43" s="33">
        <f t="shared" si="7"/>
        <v>-1.2323892462619326</v>
      </c>
      <c r="T43" s="33">
        <f t="shared" si="7"/>
        <v>0.51928200901864296</v>
      </c>
    </row>
    <row r="44" spans="1:20" x14ac:dyDescent="0.3">
      <c r="A44" s="31">
        <v>1825</v>
      </c>
      <c r="B44" s="31">
        <v>2021</v>
      </c>
      <c r="C44" s="31">
        <v>12</v>
      </c>
      <c r="D44" s="31">
        <v>8.3999999999999995E-5</v>
      </c>
      <c r="E44" s="31">
        <v>2.9707000000000001E-2</v>
      </c>
      <c r="F44" s="31">
        <v>0</v>
      </c>
      <c r="G44" s="31">
        <v>0.13720099999999999</v>
      </c>
      <c r="H44" s="31">
        <v>-0.17773700000000001</v>
      </c>
      <c r="I44" s="31">
        <v>17.252500999999999</v>
      </c>
      <c r="J44" s="31">
        <v>14309</v>
      </c>
      <c r="K44" s="31">
        <v>6560</v>
      </c>
      <c r="L44" s="31">
        <v>1</v>
      </c>
      <c r="M44" s="33">
        <f t="shared" si="2"/>
        <v>-5.2927131223970768E-2</v>
      </c>
      <c r="N44" s="33">
        <f t="shared" si="3"/>
        <v>-0.31630089424321889</v>
      </c>
      <c r="O44" s="33">
        <f t="shared" si="4"/>
        <v>-0.65923060492464947</v>
      </c>
      <c r="P44" s="33">
        <f t="shared" si="5"/>
        <v>-0.1406624578397718</v>
      </c>
      <c r="Q44" s="33">
        <f t="shared" si="6"/>
        <v>1.708769270716596</v>
      </c>
      <c r="R44" s="33">
        <f t="shared" si="7"/>
        <v>-0.95494527223600056</v>
      </c>
      <c r="S44" s="33">
        <f t="shared" si="7"/>
        <v>-1.1967244686609935</v>
      </c>
      <c r="T44" s="33">
        <f t="shared" si="7"/>
        <v>-0.56344012627953999</v>
      </c>
    </row>
    <row r="45" spans="1:20" x14ac:dyDescent="0.3">
      <c r="A45" s="32">
        <v>1825</v>
      </c>
      <c r="B45" s="32">
        <v>2022</v>
      </c>
      <c r="C45" s="32">
        <v>1</v>
      </c>
      <c r="D45" s="32">
        <v>8.1000000000000004E-5</v>
      </c>
      <c r="E45" s="32">
        <v>3.2835000000000003E-2</v>
      </c>
      <c r="F45" s="32">
        <v>0</v>
      </c>
      <c r="G45" s="32">
        <v>0.14629500000000001</v>
      </c>
      <c r="H45" s="32">
        <v>-0.11676499999999999</v>
      </c>
      <c r="I45" s="32">
        <v>24.719999000000001</v>
      </c>
      <c r="J45" s="32">
        <v>14174.75</v>
      </c>
      <c r="K45" s="32">
        <v>10855</v>
      </c>
      <c r="L45" s="32">
        <v>1</v>
      </c>
      <c r="M45" s="33">
        <f t="shared" si="2"/>
        <v>-0.40657659894775605</v>
      </c>
      <c r="N45" s="33">
        <f t="shared" si="3"/>
        <v>0.27140756329644738</v>
      </c>
      <c r="O45" s="33">
        <f t="shared" si="4"/>
        <v>-0.65923060492464947</v>
      </c>
      <c r="P45" s="33">
        <f t="shared" si="5"/>
        <v>0.25673578460693264</v>
      </c>
      <c r="Q45" s="33">
        <f t="shared" si="6"/>
        <v>1.8457714402644134</v>
      </c>
      <c r="R45" s="33">
        <f t="shared" si="7"/>
        <v>1.2240372367021553</v>
      </c>
      <c r="S45" s="33">
        <f t="shared" si="7"/>
        <v>-1.5513908681369988</v>
      </c>
      <c r="T45" s="33">
        <f t="shared" si="7"/>
        <v>0.89387468760504041</v>
      </c>
    </row>
    <row r="46" spans="1:20" x14ac:dyDescent="0.3">
      <c r="A46" s="31">
        <v>1825</v>
      </c>
      <c r="B46" s="31">
        <v>2022</v>
      </c>
      <c r="C46" s="31">
        <v>2</v>
      </c>
      <c r="D46" s="31">
        <v>1.05E-4</v>
      </c>
      <c r="E46" s="31">
        <v>3.2872999999999999E-2</v>
      </c>
      <c r="F46" s="31">
        <v>4.7600000000000002E-4</v>
      </c>
      <c r="G46" s="31">
        <v>0.146038</v>
      </c>
      <c r="H46" s="31">
        <v>-0.23971300000000001</v>
      </c>
      <c r="I46" s="31">
        <v>18.712499999999999</v>
      </c>
      <c r="J46" s="31">
        <v>14441.25</v>
      </c>
      <c r="K46" s="31">
        <v>10172</v>
      </c>
      <c r="L46" s="31">
        <v>1</v>
      </c>
      <c r="M46" s="33">
        <f t="shared" si="2"/>
        <v>2.4226191428425343</v>
      </c>
      <c r="N46" s="33">
        <f t="shared" si="3"/>
        <v>0.27854724404660891</v>
      </c>
      <c r="O46" s="33">
        <f t="shared" si="4"/>
        <v>0.80541929308092497</v>
      </c>
      <c r="P46" s="33">
        <f t="shared" si="5"/>
        <v>0.24550515470712994</v>
      </c>
      <c r="Q46" s="33">
        <f t="shared" si="6"/>
        <v>1.5695111446932486</v>
      </c>
      <c r="R46" s="33">
        <f t="shared" si="7"/>
        <v>-0.52892409565621479</v>
      </c>
      <c r="S46" s="33">
        <f t="shared" si="7"/>
        <v>-0.84734173994068296</v>
      </c>
      <c r="T46" s="33">
        <f t="shared" si="7"/>
        <v>0.66212939822595573</v>
      </c>
    </row>
    <row r="47" spans="1:20" x14ac:dyDescent="0.3">
      <c r="A47" s="32">
        <v>1825</v>
      </c>
      <c r="B47" s="32">
        <v>2022</v>
      </c>
      <c r="C47" s="32">
        <v>3</v>
      </c>
      <c r="D47" s="32">
        <v>7.3999999999999996E-5</v>
      </c>
      <c r="E47" s="32">
        <v>3.2618000000000001E-2</v>
      </c>
      <c r="F47" s="32">
        <v>5.3799999999999996E-4</v>
      </c>
      <c r="G47" s="32">
        <v>0.159473</v>
      </c>
      <c r="H47" s="32">
        <v>-0.149918</v>
      </c>
      <c r="I47" s="32">
        <v>21.2225</v>
      </c>
      <c r="J47" s="32">
        <v>14575</v>
      </c>
      <c r="K47" s="32">
        <v>9760</v>
      </c>
      <c r="L47" s="32">
        <v>1</v>
      </c>
      <c r="M47" s="33">
        <f t="shared" si="2"/>
        <v>-1.2317586903032582</v>
      </c>
      <c r="N47" s="33">
        <f t="shared" si="3"/>
        <v>0.23063622848631038</v>
      </c>
      <c r="O47" s="33">
        <f t="shared" si="4"/>
        <v>0.99619301929173487</v>
      </c>
      <c r="P47" s="33">
        <f t="shared" si="5"/>
        <v>0.832600534877733</v>
      </c>
      <c r="Q47" s="33">
        <f t="shared" si="6"/>
        <v>1.7712776902313034</v>
      </c>
      <c r="R47" s="33">
        <f t="shared" si="7"/>
        <v>0.20348267531778108</v>
      </c>
      <c r="S47" s="33">
        <f t="shared" si="7"/>
        <v>-0.49399625815360132</v>
      </c>
      <c r="T47" s="33">
        <f t="shared" si="7"/>
        <v>0.52233575368103213</v>
      </c>
    </row>
    <row r="48" spans="1:20" x14ac:dyDescent="0.3">
      <c r="A48" s="31">
        <v>1825</v>
      </c>
      <c r="B48" s="31">
        <v>2022</v>
      </c>
      <c r="C48" s="31">
        <v>4</v>
      </c>
      <c r="D48" s="31">
        <v>8.3999999999999995E-5</v>
      </c>
      <c r="E48" s="31">
        <v>3.3167000000000002E-2</v>
      </c>
      <c r="F48" s="31">
        <v>6.7999999999999999E-5</v>
      </c>
      <c r="G48" s="31">
        <v>0.16358</v>
      </c>
      <c r="H48" s="31">
        <v>-0.54313900000000004</v>
      </c>
      <c r="I48" s="31">
        <v>19.227501</v>
      </c>
      <c r="J48" s="31">
        <v>14825.666667</v>
      </c>
      <c r="K48" s="31">
        <v>6955</v>
      </c>
      <c r="L48" s="31">
        <v>1</v>
      </c>
      <c r="M48" s="33">
        <f t="shared" si="2"/>
        <v>-5.2927131223970768E-2</v>
      </c>
      <c r="N48" s="33">
        <f t="shared" si="3"/>
        <v>0.33378582669260098</v>
      </c>
      <c r="O48" s="33">
        <f t="shared" si="4"/>
        <v>-0.44999490520956742</v>
      </c>
      <c r="P48" s="33">
        <f t="shared" si="5"/>
        <v>1.0120721185294388</v>
      </c>
      <c r="Q48" s="33">
        <f t="shared" si="6"/>
        <v>0.88772244992817517</v>
      </c>
      <c r="R48" s="33">
        <f t="shared" si="7"/>
        <v>-0.37864910782419098</v>
      </c>
      <c r="S48" s="33">
        <f t="shared" si="7"/>
        <v>0.1682238107740755</v>
      </c>
      <c r="T48" s="33">
        <f t="shared" si="7"/>
        <v>-0.42941466609690687</v>
      </c>
    </row>
    <row r="49" spans="1:20" x14ac:dyDescent="0.3">
      <c r="A49" s="32">
        <v>1825</v>
      </c>
      <c r="B49" s="32">
        <v>2022</v>
      </c>
      <c r="C49" s="32">
        <v>5</v>
      </c>
      <c r="D49" s="32">
        <v>8.7000000000000001E-5</v>
      </c>
      <c r="E49" s="32">
        <v>3.1494000000000001E-2</v>
      </c>
      <c r="F49" s="32">
        <v>2.8E-5</v>
      </c>
      <c r="G49" s="32">
        <v>0.154861</v>
      </c>
      <c r="H49" s="32">
        <v>-0.39091500000000001</v>
      </c>
      <c r="I49" s="32">
        <v>19.204999999999998</v>
      </c>
      <c r="J49" s="32">
        <v>15083.5</v>
      </c>
      <c r="K49" s="32">
        <v>10784</v>
      </c>
      <c r="L49" s="32">
        <v>1</v>
      </c>
      <c r="M49" s="33">
        <f t="shared" si="2"/>
        <v>0.30072233649981611</v>
      </c>
      <c r="N49" s="33">
        <f t="shared" si="3"/>
        <v>1.9451987349934294E-2</v>
      </c>
      <c r="O49" s="33">
        <f t="shared" si="4"/>
        <v>-0.57307472857138031</v>
      </c>
      <c r="P49" s="33">
        <f t="shared" si="5"/>
        <v>0.63106098196766047</v>
      </c>
      <c r="Q49" s="33">
        <f t="shared" si="6"/>
        <v>1.2297649982658869</v>
      </c>
      <c r="R49" s="33">
        <f t="shared" si="7"/>
        <v>-0.38521479896111815</v>
      </c>
      <c r="S49" s="33">
        <f t="shared" si="7"/>
        <v>0.84937703148177057</v>
      </c>
      <c r="T49" s="33">
        <f t="shared" si="7"/>
        <v>0.86978403526841519</v>
      </c>
    </row>
    <row r="50" spans="1:20" x14ac:dyDescent="0.3">
      <c r="A50" s="31">
        <v>1825</v>
      </c>
      <c r="B50" s="31">
        <v>2022</v>
      </c>
      <c r="C50" s="31">
        <v>6</v>
      </c>
      <c r="D50" s="31">
        <v>8.8999999999999995E-5</v>
      </c>
      <c r="E50" s="31">
        <v>2.8015000000000002E-2</v>
      </c>
      <c r="F50" s="31">
        <v>1.94E-4</v>
      </c>
      <c r="G50" s="31">
        <v>0.14423800000000001</v>
      </c>
      <c r="H50" s="31">
        <v>-0.20275599999999999</v>
      </c>
      <c r="I50" s="31">
        <v>17.717500999999999</v>
      </c>
      <c r="J50" s="31">
        <v>15132.25</v>
      </c>
      <c r="K50" s="31">
        <v>11047</v>
      </c>
      <c r="L50" s="31">
        <v>1</v>
      </c>
      <c r="M50" s="33">
        <f t="shared" si="2"/>
        <v>0.536488648315673</v>
      </c>
      <c r="N50" s="33">
        <f t="shared" si="3"/>
        <v>-0.6342045739609663</v>
      </c>
      <c r="O50" s="33">
        <f t="shared" si="4"/>
        <v>-6.2293461619856522E-2</v>
      </c>
      <c r="P50" s="33">
        <f t="shared" si="5"/>
        <v>0.166847046459487</v>
      </c>
      <c r="Q50" s="33">
        <f t="shared" si="6"/>
        <v>1.6525523632850401</v>
      </c>
      <c r="R50" s="33">
        <f t="shared" si="7"/>
        <v>-0.81926035251372653</v>
      </c>
      <c r="S50" s="33">
        <f t="shared" si="7"/>
        <v>0.97816650615182843</v>
      </c>
      <c r="T50" s="33">
        <f t="shared" si="7"/>
        <v>0.95902124040267467</v>
      </c>
    </row>
    <row r="51" spans="1:20" x14ac:dyDescent="0.3">
      <c r="A51" s="32">
        <v>1825</v>
      </c>
      <c r="B51" s="32">
        <v>2022</v>
      </c>
      <c r="C51" s="32">
        <v>7</v>
      </c>
      <c r="D51" s="32">
        <v>8.7000000000000001E-5</v>
      </c>
      <c r="E51" s="32">
        <v>2.9503999999999999E-2</v>
      </c>
      <c r="F51" s="32">
        <v>2.0100000000000001E-4</v>
      </c>
      <c r="G51" s="32">
        <v>0.14032900000000001</v>
      </c>
      <c r="H51" s="32">
        <v>-4.3492000000000003E-2</v>
      </c>
      <c r="I51" s="32">
        <v>25.5075</v>
      </c>
      <c r="J51" s="32">
        <v>15389.5</v>
      </c>
      <c r="K51" s="32"/>
      <c r="L51" s="32">
        <v>1</v>
      </c>
    </row>
    <row r="52" spans="1:20" x14ac:dyDescent="0.3">
      <c r="A52" s="31">
        <v>1825</v>
      </c>
      <c r="B52" s="31">
        <v>2022</v>
      </c>
      <c r="C52" s="31">
        <v>8</v>
      </c>
      <c r="D52" s="31">
        <v>8.7999999999999998E-5</v>
      </c>
      <c r="E52" s="31">
        <v>2.6925999999999999E-2</v>
      </c>
      <c r="F52" s="31">
        <v>1.27E-4</v>
      </c>
      <c r="G52" s="31">
        <v>0.13957800000000001</v>
      </c>
      <c r="H52" s="31">
        <v>-0.37864799999999998</v>
      </c>
      <c r="I52" s="31">
        <v>18.567499000000002</v>
      </c>
      <c r="J52" s="31">
        <v>15313</v>
      </c>
      <c r="K52" s="31"/>
      <c r="L52" s="31">
        <v>1</v>
      </c>
    </row>
    <row r="53" spans="1:20" x14ac:dyDescent="0.3">
      <c r="A53" s="32">
        <v>1825</v>
      </c>
      <c r="B53" s="32">
        <v>2022</v>
      </c>
      <c r="C53" s="32">
        <v>9</v>
      </c>
      <c r="D53" s="32">
        <v>8.5000000000000006E-5</v>
      </c>
      <c r="E53" s="32">
        <v>2.7564000000000002E-2</v>
      </c>
      <c r="F53" s="32">
        <v>3.0000000000000001E-5</v>
      </c>
      <c r="G53" s="32">
        <v>0.13933699999999999</v>
      </c>
      <c r="H53" s="32">
        <v>-0.437301</v>
      </c>
      <c r="I53" s="32">
        <v>19.440000999999999</v>
      </c>
      <c r="J53" s="32">
        <v>15017.25</v>
      </c>
      <c r="K53" s="32"/>
      <c r="L53" s="32">
        <v>1</v>
      </c>
    </row>
    <row r="54" spans="1:20" x14ac:dyDescent="0.3">
      <c r="A54" s="31">
        <v>1825</v>
      </c>
      <c r="B54" s="31">
        <v>2022</v>
      </c>
      <c r="C54" s="31">
        <v>10</v>
      </c>
      <c r="D54" s="31">
        <v>1E-4</v>
      </c>
      <c r="E54" s="31">
        <v>2.5625999999999999E-2</v>
      </c>
      <c r="F54" s="31">
        <v>6.9099999999999999E-4</v>
      </c>
      <c r="G54" s="31">
        <v>0.12690799999999999</v>
      </c>
      <c r="H54" s="31">
        <v>-0.29209400000000002</v>
      </c>
      <c r="I54" s="31">
        <v>21.494999</v>
      </c>
      <c r="J54" s="31">
        <v>14866</v>
      </c>
      <c r="K54" s="31"/>
      <c r="L54" s="31">
        <v>1</v>
      </c>
    </row>
    <row r="55" spans="1:20" x14ac:dyDescent="0.3">
      <c r="A55" s="32">
        <v>1825</v>
      </c>
      <c r="B55" s="32">
        <v>2022</v>
      </c>
      <c r="C55" s="32">
        <v>11</v>
      </c>
      <c r="D55" s="32">
        <v>8.1000000000000004E-5</v>
      </c>
      <c r="E55" s="32">
        <v>2.7182000000000001E-2</v>
      </c>
      <c r="F55" s="32">
        <v>3.1640000000000001E-3</v>
      </c>
      <c r="G55" s="32">
        <v>0.127418</v>
      </c>
      <c r="H55" s="32">
        <v>-0.18303700000000001</v>
      </c>
      <c r="I55" s="32">
        <v>12.4975</v>
      </c>
      <c r="J55" s="32">
        <v>14577</v>
      </c>
      <c r="K55" s="32"/>
      <c r="L55" s="32">
        <v>1</v>
      </c>
    </row>
    <row r="56" spans="1:20" x14ac:dyDescent="0.3">
      <c r="A56" s="31">
        <v>1825</v>
      </c>
      <c r="B56" s="31">
        <v>2022</v>
      </c>
      <c r="C56" s="31">
        <v>12</v>
      </c>
      <c r="D56" s="31">
        <v>9.3999999999999994E-5</v>
      </c>
      <c r="E56" s="31">
        <v>2.9243999999999999E-2</v>
      </c>
      <c r="F56" s="31">
        <v>0</v>
      </c>
      <c r="G56" s="31">
        <v>0.13125100000000001</v>
      </c>
      <c r="H56" s="31">
        <v>-0.22991500000000001</v>
      </c>
      <c r="I56" s="31">
        <v>27.24</v>
      </c>
      <c r="J56" s="31">
        <v>14369.25</v>
      </c>
      <c r="K56" s="31"/>
      <c r="L56" s="3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CC26-F6D7-46C9-891C-AE40A1DBECE1}">
  <dimension ref="A1:K30"/>
  <sheetViews>
    <sheetView workbookViewId="0">
      <selection activeCell="J3" sqref="J3"/>
    </sheetView>
  </sheetViews>
  <sheetFormatPr baseColWidth="10" defaultRowHeight="14.4" x14ac:dyDescent="0.3"/>
  <cols>
    <col min="1" max="1" width="8.109375" customWidth="1"/>
    <col min="2" max="2" width="66.77734375" bestFit="1" customWidth="1"/>
    <col min="3" max="3" width="31.6640625" customWidth="1"/>
    <col min="4" max="5" width="17.44140625" customWidth="1"/>
    <col min="6" max="6" width="12" customWidth="1"/>
    <col min="10" max="10" width="15.6640625" customWidth="1"/>
  </cols>
  <sheetData>
    <row r="1" spans="1:10" x14ac:dyDescent="0.3">
      <c r="A1" s="28" t="s">
        <v>36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8" t="s">
        <v>37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8" t="s">
        <v>38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8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8" t="s">
        <v>40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8" t="s">
        <v>41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8" t="s">
        <v>42</v>
      </c>
      <c r="B7" s="2"/>
      <c r="C7" s="2"/>
      <c r="D7" s="2"/>
      <c r="E7" s="2"/>
      <c r="F7" s="2"/>
      <c r="G7" s="2"/>
      <c r="H7" s="2"/>
      <c r="I7" s="2"/>
      <c r="J7" s="2"/>
    </row>
    <row r="8" spans="1:10" ht="29.4" customHeight="1" x14ac:dyDescent="0.3">
      <c r="A8" s="15" t="s">
        <v>43</v>
      </c>
      <c r="B8" s="15" t="s">
        <v>44</v>
      </c>
      <c r="C8" s="15" t="s">
        <v>45</v>
      </c>
      <c r="D8" s="15" t="s">
        <v>46</v>
      </c>
      <c r="E8" s="15" t="s">
        <v>47</v>
      </c>
      <c r="F8" s="15" t="s">
        <v>48</v>
      </c>
      <c r="G8" s="15" t="s">
        <v>79</v>
      </c>
      <c r="H8" s="15" t="s">
        <v>80</v>
      </c>
      <c r="I8" s="25" t="s">
        <v>85</v>
      </c>
      <c r="J8" s="27" t="s">
        <v>94</v>
      </c>
    </row>
    <row r="9" spans="1:10" ht="15" customHeight="1" x14ac:dyDescent="0.3">
      <c r="A9" s="16">
        <v>3630</v>
      </c>
      <c r="B9" s="18" t="s">
        <v>49</v>
      </c>
      <c r="C9" s="17" t="s">
        <v>50</v>
      </c>
      <c r="D9" s="17">
        <v>1470</v>
      </c>
      <c r="E9" s="17" t="s">
        <v>5</v>
      </c>
      <c r="F9" s="17" t="s">
        <v>51</v>
      </c>
      <c r="G9" s="17">
        <v>43.034444999999998</v>
      </c>
      <c r="H9" s="17">
        <v>-2.9998279999999999</v>
      </c>
      <c r="I9" s="17">
        <v>1</v>
      </c>
      <c r="J9" s="26" t="s">
        <v>95</v>
      </c>
    </row>
    <row r="10" spans="1:10" ht="15" customHeight="1" x14ac:dyDescent="0.3">
      <c r="A10" s="19">
        <v>3641</v>
      </c>
      <c r="B10" s="21" t="s">
        <v>52</v>
      </c>
      <c r="C10" s="20" t="s">
        <v>53</v>
      </c>
      <c r="D10" s="20">
        <v>48970</v>
      </c>
      <c r="E10" s="20" t="s">
        <v>6</v>
      </c>
      <c r="F10" s="20" t="s">
        <v>51</v>
      </c>
      <c r="G10" s="20" t="s">
        <v>82</v>
      </c>
      <c r="H10" s="20">
        <v>-3.153114</v>
      </c>
      <c r="I10" s="20">
        <v>7</v>
      </c>
      <c r="J10" s="20" t="s">
        <v>95</v>
      </c>
    </row>
    <row r="11" spans="1:10" ht="15" customHeight="1" x14ac:dyDescent="0.3">
      <c r="A11" s="16">
        <v>3645</v>
      </c>
      <c r="B11" s="18" t="s">
        <v>54</v>
      </c>
      <c r="C11" s="17" t="s">
        <v>55</v>
      </c>
      <c r="D11" s="17">
        <v>20200</v>
      </c>
      <c r="E11" s="17" t="s">
        <v>56</v>
      </c>
      <c r="F11" s="17" t="s">
        <v>51</v>
      </c>
      <c r="G11" s="17">
        <v>43.054997</v>
      </c>
      <c r="H11" s="17">
        <v>-2.186798</v>
      </c>
      <c r="I11" s="17">
        <v>99</v>
      </c>
      <c r="J11" s="17" t="s">
        <v>95</v>
      </c>
    </row>
    <row r="12" spans="1:10" ht="15" customHeight="1" x14ac:dyDescent="0.3">
      <c r="A12" s="19">
        <v>3673</v>
      </c>
      <c r="B12" s="21" t="s">
        <v>57</v>
      </c>
      <c r="C12" s="20" t="s">
        <v>58</v>
      </c>
      <c r="D12" s="20">
        <v>20212</v>
      </c>
      <c r="E12" s="20" t="s">
        <v>56</v>
      </c>
      <c r="F12" s="20" t="s">
        <v>51</v>
      </c>
      <c r="G12" s="20" t="s">
        <v>83</v>
      </c>
      <c r="H12" s="20">
        <v>-2.2146240000000001</v>
      </c>
      <c r="I12" s="20">
        <v>3</v>
      </c>
      <c r="J12" s="20" t="s">
        <v>95</v>
      </c>
    </row>
    <row r="13" spans="1:10" ht="15" customHeight="1" x14ac:dyDescent="0.3">
      <c r="A13" s="16">
        <v>3675</v>
      </c>
      <c r="B13" s="18" t="s">
        <v>59</v>
      </c>
      <c r="C13" s="17" t="s">
        <v>60</v>
      </c>
      <c r="D13" s="17">
        <v>20720</v>
      </c>
      <c r="E13" s="17" t="s">
        <v>56</v>
      </c>
      <c r="F13" s="17" t="s">
        <v>51</v>
      </c>
      <c r="G13" s="17">
        <v>43.171456999999997</v>
      </c>
      <c r="H13" s="17">
        <v>-2.3228900000000001</v>
      </c>
      <c r="I13" s="17">
        <v>99</v>
      </c>
      <c r="J13" s="17" t="s">
        <v>95</v>
      </c>
    </row>
    <row r="14" spans="1:10" ht="15" customHeight="1" x14ac:dyDescent="0.3">
      <c r="A14" s="19">
        <v>3676</v>
      </c>
      <c r="B14" s="21" t="s">
        <v>61</v>
      </c>
      <c r="C14" s="20" t="s">
        <v>62</v>
      </c>
      <c r="D14" s="20">
        <v>20730</v>
      </c>
      <c r="E14" s="20" t="s">
        <v>56</v>
      </c>
      <c r="F14" s="20" t="s">
        <v>51</v>
      </c>
      <c r="G14" s="20" t="s">
        <v>84</v>
      </c>
      <c r="H14" s="20">
        <v>-2.2616529999999999</v>
      </c>
      <c r="I14" s="20">
        <v>99</v>
      </c>
      <c r="J14" s="20" t="s">
        <v>95</v>
      </c>
    </row>
    <row r="15" spans="1:10" ht="15" customHeight="1" x14ac:dyDescent="0.3">
      <c r="A15" s="16">
        <v>3685</v>
      </c>
      <c r="B15" s="18" t="s">
        <v>63</v>
      </c>
      <c r="C15" s="17" t="s">
        <v>64</v>
      </c>
      <c r="D15" s="17">
        <v>20700</v>
      </c>
      <c r="E15" s="17" t="s">
        <v>56</v>
      </c>
      <c r="F15" s="17" t="s">
        <v>51</v>
      </c>
      <c r="G15" s="17">
        <v>43.086877000000001</v>
      </c>
      <c r="H15" s="17">
        <v>-2.3173249999999999</v>
      </c>
      <c r="I15" s="17">
        <v>99</v>
      </c>
      <c r="J15" s="17" t="s">
        <v>95</v>
      </c>
    </row>
    <row r="16" spans="1:10" ht="15" customHeight="1" x14ac:dyDescent="0.3">
      <c r="A16" s="19">
        <v>3694</v>
      </c>
      <c r="B16" s="21" t="s">
        <v>65</v>
      </c>
      <c r="C16" s="20" t="s">
        <v>66</v>
      </c>
      <c r="D16" s="20">
        <v>1470</v>
      </c>
      <c r="E16" s="20" t="s">
        <v>5</v>
      </c>
      <c r="F16" s="20" t="s">
        <v>51</v>
      </c>
      <c r="G16" s="20">
        <v>43.077646000000001</v>
      </c>
      <c r="H16" s="20">
        <v>-2.995679</v>
      </c>
      <c r="I16" s="20">
        <v>8</v>
      </c>
      <c r="J16" s="20" t="s">
        <v>95</v>
      </c>
    </row>
    <row r="17" spans="1:11" ht="15" customHeight="1" x14ac:dyDescent="0.3">
      <c r="A17" s="16">
        <v>3723</v>
      </c>
      <c r="B17" s="18" t="s">
        <v>67</v>
      </c>
      <c r="C17" s="17" t="s">
        <v>68</v>
      </c>
      <c r="D17" s="17">
        <v>48180</v>
      </c>
      <c r="E17" s="17" t="s">
        <v>6</v>
      </c>
      <c r="F17" s="17" t="s">
        <v>51</v>
      </c>
      <c r="G17" s="17">
        <v>43.297136000000002</v>
      </c>
      <c r="H17" s="17">
        <v>-2.9085209999999999</v>
      </c>
      <c r="I17" s="17">
        <v>6</v>
      </c>
      <c r="J17" s="17" t="s">
        <v>95</v>
      </c>
    </row>
    <row r="18" spans="1:11" ht="15" customHeight="1" x14ac:dyDescent="0.3">
      <c r="A18" s="19">
        <v>3724</v>
      </c>
      <c r="B18" s="21" t="s">
        <v>69</v>
      </c>
      <c r="C18" s="20" t="s">
        <v>70</v>
      </c>
      <c r="D18" s="20">
        <v>48910</v>
      </c>
      <c r="E18" s="20" t="s">
        <v>6</v>
      </c>
      <c r="F18" s="20" t="s">
        <v>51</v>
      </c>
      <c r="G18" s="20">
        <v>43.311945000000001</v>
      </c>
      <c r="H18" s="20">
        <v>-2.9916459999999998</v>
      </c>
      <c r="I18" s="20">
        <v>4</v>
      </c>
      <c r="J18" s="20" t="s">
        <v>95</v>
      </c>
    </row>
    <row r="19" spans="1:11" ht="15" customHeight="1" x14ac:dyDescent="0.3">
      <c r="A19" s="16">
        <v>3733</v>
      </c>
      <c r="B19" s="18" t="s">
        <v>71</v>
      </c>
      <c r="C19" s="17" t="s">
        <v>72</v>
      </c>
      <c r="D19" s="17">
        <v>48510</v>
      </c>
      <c r="E19" s="17" t="s">
        <v>6</v>
      </c>
      <c r="F19" s="17" t="s">
        <v>51</v>
      </c>
      <c r="G19" s="17">
        <v>43.309876000000003</v>
      </c>
      <c r="H19" s="17">
        <v>-3.020769</v>
      </c>
      <c r="I19" s="17">
        <v>5</v>
      </c>
      <c r="J19" s="17" t="s">
        <v>95</v>
      </c>
    </row>
    <row r="20" spans="1:11" ht="15" customHeight="1" x14ac:dyDescent="0.3">
      <c r="A20" s="19">
        <v>4611</v>
      </c>
      <c r="B20" s="21" t="s">
        <v>73</v>
      </c>
      <c r="C20" s="20" t="s">
        <v>74</v>
      </c>
      <c r="D20" s="20">
        <v>20570</v>
      </c>
      <c r="E20" s="20" t="s">
        <v>56</v>
      </c>
      <c r="F20" s="20" t="s">
        <v>51</v>
      </c>
      <c r="G20" s="20">
        <v>43.105352000000003</v>
      </c>
      <c r="H20" s="20">
        <v>-2.4243649999999999</v>
      </c>
      <c r="I20" s="20">
        <v>99</v>
      </c>
      <c r="J20" s="20" t="s">
        <v>95</v>
      </c>
    </row>
    <row r="21" spans="1:11" ht="15" customHeight="1" x14ac:dyDescent="0.3">
      <c r="A21" s="16">
        <v>4691</v>
      </c>
      <c r="B21" s="18" t="s">
        <v>75</v>
      </c>
      <c r="C21" s="17" t="s">
        <v>76</v>
      </c>
      <c r="D21" s="17">
        <v>20230</v>
      </c>
      <c r="E21" s="17" t="s">
        <v>56</v>
      </c>
      <c r="F21" s="17" t="s">
        <v>51</v>
      </c>
      <c r="G21" s="17">
        <v>43.173431999999998</v>
      </c>
      <c r="H21" s="17">
        <v>-2.320395</v>
      </c>
      <c r="I21" s="17">
        <v>99</v>
      </c>
      <c r="J21" s="17" t="s">
        <v>96</v>
      </c>
    </row>
    <row r="22" spans="1:11" ht="15" customHeight="1" x14ac:dyDescent="0.3">
      <c r="A22" s="19">
        <v>4737</v>
      </c>
      <c r="B22" s="21" t="s">
        <v>77</v>
      </c>
      <c r="C22" s="20" t="s">
        <v>78</v>
      </c>
      <c r="D22" s="20">
        <v>48910</v>
      </c>
      <c r="E22" s="20" t="s">
        <v>6</v>
      </c>
      <c r="F22" s="20" t="s">
        <v>51</v>
      </c>
      <c r="G22" s="20">
        <v>43.299410000000002</v>
      </c>
      <c r="H22" s="20">
        <v>-3.006364</v>
      </c>
      <c r="I22" s="20">
        <v>2</v>
      </c>
      <c r="J22" s="20" t="s">
        <v>95</v>
      </c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hyperlinks>
    <hyperlink ref="A8" r:id="rId1" tooltip="Pulsa por ordenar" display="javascript:__doPostBack('ctl00$ContentPlaceHolder1$Buscador1$ComplejosGrid$ctl00$ctl02$ctl00$ctl00','')" xr:uid="{AD384981-48DD-4AE3-880F-68268FC25EC3}"/>
    <hyperlink ref="B8" r:id="rId2" tooltip="Pulsa por ordenar" display="javascript:__doPostBack('ctl00$ContentPlaceHolder1$Buscador1$ComplejosGrid$ctl00$ctl02$ctl00$ctl01','')" xr:uid="{B44C0B41-CC7C-4948-A6BF-A5AC1E6858F8}"/>
    <hyperlink ref="C8" r:id="rId3" tooltip="Pulsa por ordenar" display="javascript:__doPostBack('ctl00$ContentPlaceHolder1$Buscador1$ComplejosGrid$ctl00$ctl02$ctl00$ctl02','')" xr:uid="{574EFF35-2529-45A2-A096-2B346F395394}"/>
    <hyperlink ref="D8" r:id="rId4" tooltip="Pulsa por ordenar" display="javascript:__doPostBack('ctl00$ContentPlaceHolder1$Buscador1$ComplejosGrid$ctl00$ctl02$ctl00$ctl03','')" xr:uid="{73659D37-4356-46D8-916C-06D4486951A9}"/>
    <hyperlink ref="E8" r:id="rId5" tooltip="Pulsa por ordenar" display="javascript:__doPostBack('ctl00$ContentPlaceHolder1$Buscador1$ComplejosGrid$ctl00$ctl02$ctl00$ctl04','')" xr:uid="{0FBEC737-362E-47EC-897A-C19D9BBA81A5}"/>
    <hyperlink ref="F8" r:id="rId6" tooltip="Pulsa por ordenar" display="javascript:__doPostBack('ctl00$ContentPlaceHolder1$Buscador1$ComplejosGrid$ctl00$ctl02$ctl00$ctl05','')" xr:uid="{BB10C291-16C7-4131-9FBA-22C642D708FC}"/>
    <hyperlink ref="B9" r:id="rId7" display="http://prtr-es.es/informes/fichacomplejo.aspx?Id_Complejo=3278" xr:uid="{3D6446F3-88C5-4738-A6E2-53625768E5FE}"/>
    <hyperlink ref="B10" r:id="rId8" display="http://prtr-es.es/informes/fichacomplejo.aspx?Id_Complejo=3289" xr:uid="{DCC4B27E-AF14-40F4-9B40-2DE03A0EB951}"/>
    <hyperlink ref="B11" r:id="rId9" display="http://prtr-es.es/informes/fichacomplejo.aspx?Id_Complejo=3293" xr:uid="{ADB497FB-E44C-4832-96D9-02A941E0E16F}"/>
    <hyperlink ref="B12" r:id="rId10" display="http://prtr-es.es/informes/fichacomplejo.aspx?Id_Complejo=3321" xr:uid="{2F14A465-2D3B-4462-8915-E8F8C235DC8E}"/>
    <hyperlink ref="B13" r:id="rId11" display="http://prtr-es.es/informes/fichacomplejo.aspx?Id_Complejo=3323" xr:uid="{0206F822-A97E-42DF-B8E3-A2BFC5ED43F4}"/>
    <hyperlink ref="B14" r:id="rId12" display="http://prtr-es.es/informes/fichacomplejo.aspx?Id_Complejo=3324" xr:uid="{22CB537C-960B-4FC0-A4D3-06A95C7AE0C3}"/>
    <hyperlink ref="B15" r:id="rId13" display="http://prtr-es.es/informes/fichacomplejo.aspx?Id_Complejo=3333" xr:uid="{D7DF70FB-3BDB-4CF6-A62D-4712254C59DC}"/>
    <hyperlink ref="B16" r:id="rId14" display="http://prtr-es.es/informes/fichacomplejo.aspx?Id_Complejo=3342" xr:uid="{AF994B0D-2F46-47CA-A1DA-AC7CA6E384A0}"/>
    <hyperlink ref="B17" r:id="rId15" display="http://prtr-es.es/informes/fichacomplejo.aspx?Id_Complejo=3371" xr:uid="{13225A50-3775-4086-A7C4-433673371D6C}"/>
    <hyperlink ref="B18" r:id="rId16" display="http://prtr-es.es/informes/fichacomplejo.aspx?Id_Complejo=3372" xr:uid="{5BB77823-6579-4608-935B-E305A39A3784}"/>
    <hyperlink ref="B19" r:id="rId17" display="http://prtr-es.es/informes/fichacomplejo.aspx?Id_Complejo=3381" xr:uid="{62FBC2CE-A49E-4ECF-8A92-B01ABF86AC91}"/>
    <hyperlink ref="B20" r:id="rId18" display="http://prtr-es.es/informes/fichacomplejo.aspx?Id_Complejo=3931" xr:uid="{B3D201D9-AB41-429D-8519-FDADC110E479}"/>
    <hyperlink ref="B21" r:id="rId19" display="http://prtr-es.es/informes/fichacomplejo.aspx?Id_Complejo=4011" xr:uid="{1D76AD85-40D5-404A-BCC8-0D577EF735F4}"/>
    <hyperlink ref="B22" r:id="rId20" display="http://prtr-es.es/informes/fichacomplejo.aspx?Id_Complejo=4057" xr:uid="{624A5F15-E4DF-450F-B9C5-1A6C68AD30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7ee1873-b3d0-469f-9348-639da0c9eb22" xsi:nil="true"/>
    <lcf76f155ced4ddcb4097134ff3c332f xmlns="37ee1873-b3d0-469f-9348-639da0c9eb22">
      <Terms xmlns="http://schemas.microsoft.com/office/infopath/2007/PartnerControls"/>
    </lcf76f155ced4ddcb4097134ff3c332f>
    <TaxCatchAll xmlns="53502141-ebec-4ed7-be64-44b4d38ff9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5C216350B32942AE07FCAC87DF890D" ma:contentTypeVersion="19" ma:contentTypeDescription="Crear nuevo documento." ma:contentTypeScope="" ma:versionID="30e7fbc0bcf4ec6fcbce2a5729ea5c2f">
  <xsd:schema xmlns:xsd="http://www.w3.org/2001/XMLSchema" xmlns:xs="http://www.w3.org/2001/XMLSchema" xmlns:p="http://schemas.microsoft.com/office/2006/metadata/properties" xmlns:ns2="37ee1873-b3d0-469f-9348-639da0c9eb22" xmlns:ns3="53502141-ebec-4ed7-be64-44b4d38ff9b9" targetNamespace="http://schemas.microsoft.com/office/2006/metadata/properties" ma:root="true" ma:fieldsID="d400c2a87a3ee4ff06db0e4b1ab1d028" ns2:_="" ns3:_="">
    <xsd:import namespace="37ee1873-b3d0-469f-9348-639da0c9eb22"/>
    <xsd:import namespace="53502141-ebec-4ed7-be64-44b4d38f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e1873-b3d0-469f-9348-639da0c9e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6d09bcd5-8f67-4cdf-a176-3d0363b15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02141-ebec-4ed7-be64-44b4d38ff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ae435c6-bfa4-449e-a553-1aaf890aa587}" ma:internalName="TaxCatchAll" ma:showField="CatchAllData" ma:web="53502141-ebec-4ed7-be64-44b4d38f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13D01-0FBB-44E9-80CF-4D45BF037DF1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3502141-ebec-4ed7-be64-44b4d38ff9b9"/>
    <ds:schemaRef ds:uri="37ee1873-b3d0-469f-9348-639da0c9eb2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21F8A1-9DCB-41D4-AB25-D686784F45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F120F-7010-4E48-96FF-62C8250AE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e1873-b3d0-469f-9348-639da0c9eb22"/>
    <ds:schemaRef ds:uri="53502141-ebec-4ed7-be64-44b4d38ff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Empresas con coordenadas</vt:lpstr>
      <vt:lpstr>bd_produccion</vt:lpstr>
      <vt:lpstr>bd_plantas</vt:lpstr>
      <vt:lpstr>Contraste del indicador</vt:lpstr>
      <vt:lpstr>bd_1825</vt:lpstr>
      <vt:lpstr>PRTR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dlozano</dc:creator>
  <cp:lastModifiedBy>Camilo Valladares R.</cp:lastModifiedBy>
  <cp:lastPrinted>2024-04-16T08:10:43Z</cp:lastPrinted>
  <dcterms:created xsi:type="dcterms:W3CDTF">2016-08-04T08:49:42Z</dcterms:created>
  <dcterms:modified xsi:type="dcterms:W3CDTF">2025-08-20T09:27:30Z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0x010100535C216350B32942AE07FCAC87DF890D</vt:lpwstr>
  </property>
  <property fmtid="{D5CDD505-2E9C-101B-9397-08002B2CF9AE}" pid="3" name="Order">
    <vt:r8>14600</vt:r8>
  </property>
  <property fmtid="{D5CDD505-2E9C-101B-9397-08002B2CF9AE}" pid="4" name="MediaServiceImageTags">
    <vt:lpwstr/>
  </property>
</Properties>
</file>